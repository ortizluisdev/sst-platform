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mau\Downloads\"/>
    </mc:Choice>
  </mc:AlternateContent>
  <xr:revisionPtr revIDLastSave="0" documentId="11_9B9137C7106AA77116428E01BFE9A01B0966ED53" xr6:coauthVersionLast="47" xr6:coauthVersionMax="47" xr10:uidLastSave="{00000000-0000-0000-0000-000000000000}"/>
  <bookViews>
    <workbookView xWindow="-108" yWindow="-108" windowWidth="23256" windowHeight="12456" tabRatio="500" firstSheet="6" activeTab="9" xr2:uid="{00000000-000D-0000-FFFF-FFFF00000000}"/>
  </bookViews>
  <sheets>
    <sheet name="Diccionario" sheetId="1" r:id="rId1"/>
    <sheet name="Hoja 1 · Generalidad" sheetId="2" r:id="rId2"/>
    <sheet name="Hoja 2 · Vehículos" sheetId="3" r:id="rId3"/>
    <sheet name="Hoja 3 · Personas" sheetId="4" r:id="rId4"/>
    <sheet name="Hoja 4 · Rutograma" sheetId="5" r:id="rId5"/>
    <sheet name="Reporte H1" sheetId="6" r:id="rId6"/>
    <sheet name="Reporte H2" sheetId="7" r:id="rId7"/>
    <sheet name="Reporte H3" sheetId="8" r:id="rId8"/>
    <sheet name="Reporte H4" sheetId="9" r:id="rId9"/>
    <sheet name="Panel de alertas" sheetId="10" r:id="rId10"/>
    <sheet name="Leyenda" sheetId="11" r:id="rId11"/>
  </sheets>
  <definedNames>
    <definedName name="_xlnm._FilterDatabase" localSheetId="0" hidden="1">Diccionario!$A$4:$F$42</definedName>
    <definedName name="_xlnm._FilterDatabase" localSheetId="1" hidden="1">'Hoja 1 · Generalidad'!$A$5:$H$29</definedName>
    <definedName name="_xlnm._FilterDatabase" localSheetId="2" hidden="1">'Hoja 2 · Vehículos'!$A$5:$AG$10</definedName>
    <definedName name="_xlnm._FilterDatabase" localSheetId="3" hidden="1">'Hoja 3 · Personas'!$A$5:$AB$10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6" i="10" l="1"/>
  <c r="B8" i="9"/>
  <c r="E5" i="9"/>
  <c r="B5" i="9"/>
  <c r="B9" i="8"/>
  <c r="B8" i="8"/>
  <c r="E5" i="8"/>
  <c r="B5" i="8"/>
  <c r="E10" i="7"/>
  <c r="B8" i="7"/>
  <c r="E5" i="7"/>
  <c r="B5" i="7"/>
  <c r="E16" i="6"/>
  <c r="B16" i="6"/>
  <c r="B15" i="6"/>
  <c r="E12" i="6"/>
  <c r="B12" i="6"/>
  <c r="E11" i="6"/>
  <c r="B11" i="6"/>
  <c r="Z10" i="4"/>
  <c r="AA10" i="4" s="1"/>
  <c r="J10" i="4"/>
  <c r="AB10" i="4" s="1"/>
  <c r="AA9" i="4"/>
  <c r="Z9" i="4"/>
  <c r="J9" i="4"/>
  <c r="AB9" i="4" s="1"/>
  <c r="Z8" i="4"/>
  <c r="AA8" i="4" s="1"/>
  <c r="J8" i="4"/>
  <c r="E10" i="8" s="1"/>
  <c r="AB7" i="4"/>
  <c r="Z7" i="4"/>
  <c r="AA7" i="4" s="1"/>
  <c r="J7" i="4"/>
  <c r="Z6" i="4"/>
  <c r="AA6" i="4" s="1"/>
  <c r="J6" i="4"/>
  <c r="E9" i="10" s="1"/>
  <c r="AC10" i="3"/>
  <c r="M10" i="3"/>
  <c r="K10" i="3"/>
  <c r="AG10" i="3" s="1"/>
  <c r="AC9" i="3"/>
  <c r="M9" i="3"/>
  <c r="K9" i="3"/>
  <c r="AG9" i="3" s="1"/>
  <c r="AG8" i="3"/>
  <c r="AC8" i="3"/>
  <c r="M8" i="3"/>
  <c r="K8" i="3"/>
  <c r="AC7" i="3"/>
  <c r="M7" i="3"/>
  <c r="K7" i="3"/>
  <c r="AG7" i="3" s="1"/>
  <c r="AC6" i="3"/>
  <c r="M6" i="3"/>
  <c r="E9" i="7" s="1"/>
  <c r="K6" i="3"/>
  <c r="AG6" i="3" s="1"/>
  <c r="D51" i="2"/>
  <c r="E15" i="6" s="1"/>
  <c r="D42" i="2"/>
  <c r="F30" i="2"/>
  <c r="B10" i="10" l="1"/>
  <c r="E8" i="8"/>
  <c r="E9" i="8"/>
  <c r="B5" i="10"/>
  <c r="E8" i="7"/>
  <c r="E5" i="10"/>
  <c r="B10" i="8"/>
  <c r="B6" i="10"/>
  <c r="B9" i="7"/>
  <c r="B10" i="7"/>
  <c r="AB6" i="4"/>
  <c r="E10" i="10" s="1"/>
  <c r="B9" i="10"/>
  <c r="AB8" i="4"/>
</calcChain>
</file>

<file path=xl/sharedStrings.xml><?xml version="1.0" encoding="utf-8"?>
<sst xmlns="http://schemas.openxmlformats.org/spreadsheetml/2006/main" count="783" uniqueCount="468">
  <si>
    <t>Diccionario de variables — Seguridad vial (MSSV)</t>
  </si>
  <si>
    <t>Catálogo de variables por categoría · mismo formato del libro de higiene</t>
  </si>
  <si>
    <t>Categoría</t>
  </si>
  <si>
    <t>Nombre de la variable</t>
  </si>
  <si>
    <t>Magnitud (símbolo)</t>
  </si>
  <si>
    <t>Unidad</t>
  </si>
  <si>
    <t>Tipo de dato</t>
  </si>
  <si>
    <t>Norma / criterio</t>
  </si>
  <si>
    <t>Generalidad / PESV</t>
  </si>
  <si>
    <t>Cumplimiento por paso PESV</t>
  </si>
  <si>
    <t>—</t>
  </si>
  <si>
    <t>Cumple/Parcial/No/N.A.</t>
  </si>
  <si>
    <t>Inspección</t>
  </si>
  <si>
    <t>Res. 40595/2022</t>
  </si>
  <si>
    <t>% de avance por paso</t>
  </si>
  <si>
    <t>%av</t>
  </si>
  <si>
    <t>%</t>
  </si>
  <si>
    <t>% cumplimiento PESV global</t>
  </si>
  <si>
    <t>%PESV</t>
  </si>
  <si>
    <t>Cálculo</t>
  </si>
  <si>
    <t>Inventario</t>
  </si>
  <si>
    <t>Actores viales por tipo</t>
  </si>
  <si>
    <t>conteo</t>
  </si>
  <si>
    <t>Medición</t>
  </si>
  <si>
    <t>Parque automotor por tipo</t>
  </si>
  <si>
    <t>Rutas / ciudades / sedes</t>
  </si>
  <si>
    <t>Vehículo</t>
  </si>
  <si>
    <t>Vigencia SOAT / RTM / póliza</t>
  </si>
  <si>
    <t>fecha · días</t>
  </si>
  <si>
    <t>Medición/Cálculo</t>
  </si>
  <si>
    <t>vigente</t>
  </si>
  <si>
    <t>Comparendos</t>
  </si>
  <si>
    <t>0</t>
  </si>
  <si>
    <t>Cumplimiento plan de mantenimiento</t>
  </si>
  <si>
    <t>100 %</t>
  </si>
  <si>
    <t>Prueba de frenado</t>
  </si>
  <si>
    <t>OK/Revisar</t>
  </si>
  <si>
    <t>eficaz</t>
  </si>
  <si>
    <t>Alineación y balanceo</t>
  </si>
  <si>
    <t>fecha</t>
  </si>
  <si>
    <t>al día</t>
  </si>
  <si>
    <t>Labrado de llantas</t>
  </si>
  <si>
    <t>mm</t>
  </si>
  <si>
    <t>≥ 2 mm</t>
  </si>
  <si>
    <t>Consumo de combustible</t>
  </si>
  <si>
    <t>gal/mes</t>
  </si>
  <si>
    <t>Rendimiento</t>
  </si>
  <si>
    <t>km/gal</t>
  </si>
  <si>
    <t>≥ base</t>
  </si>
  <si>
    <t>Anomalía de consumo</t>
  </si>
  <si>
    <t>% vs. base</t>
  </si>
  <si>
    <t>&lt; 15 %</t>
  </si>
  <si>
    <t>Seguridad activa / pasiva</t>
  </si>
  <si>
    <t>sí/no</t>
  </si>
  <si>
    <t>Operador</t>
  </si>
  <si>
    <t>Vigencia de licencia</t>
  </si>
  <si>
    <t>Examen psicosensométrico</t>
  </si>
  <si>
    <t>apto/no apto</t>
  </si>
  <si>
    <t>apto</t>
  </si>
  <si>
    <t>Cursos y horas de formación</t>
  </si>
  <si>
    <t>conteo · h</t>
  </si>
  <si>
    <t>plan anual</t>
  </si>
  <si>
    <t>Conducción segura</t>
  </si>
  <si>
    <t>Score</t>
  </si>
  <si>
    <t>0–100</t>
  </si>
  <si>
    <t>≥ 70</t>
  </si>
  <si>
    <t>Manejo defensivo</t>
  </si>
  <si>
    <t>Manejo comentado diurno</t>
  </si>
  <si>
    <t>Manejo comentado nocturno</t>
  </si>
  <si>
    <t>Conocimiento del vehículo</t>
  </si>
  <si>
    <t>Normas de tránsito</t>
  </si>
  <si>
    <t>Gestión de la fatiga</t>
  </si>
  <si>
    <t>Investigación de siniestros</t>
  </si>
  <si>
    <t>Primeros auxilios / atención a víctimas</t>
  </si>
  <si>
    <t>Índice de competencia del conductor</t>
  </si>
  <si>
    <t>ICC</t>
  </si>
  <si>
    <t>Rutograma</t>
  </si>
  <si>
    <t>Condiciones de riesgo del trayecto</t>
  </si>
  <si>
    <t>X (marcado)</t>
  </si>
  <si>
    <t>Señales de tránsito por punto</t>
  </si>
  <si>
    <t>conteo / listado</t>
  </si>
  <si>
    <t>Nivel de riesgo por punto</t>
  </si>
  <si>
    <t>Bajo/Medio/Alto</t>
  </si>
  <si>
    <t>Cálculo/Inspección</t>
  </si>
  <si>
    <t>Puntos críticos de la ruta</t>
  </si>
  <si>
    <t>Análisis</t>
  </si>
  <si>
    <t>Índice de frecuencia de accidentes</t>
  </si>
  <si>
    <t>IF</t>
  </si>
  <si>
    <t>acc/10⁶ km</t>
  </si>
  <si>
    <t>Índice de severidad</t>
  </si>
  <si>
    <t>IS</t>
  </si>
  <si>
    <t>días/10⁶ km</t>
  </si>
  <si>
    <t>Índice global de riesgo vial</t>
  </si>
  <si>
    <t>IRV</t>
  </si>
  <si>
    <t>Probabilidad de siniestro (modelo)</t>
  </si>
  <si>
    <t>P</t>
  </si>
  <si>
    <t>Efectividad de intervención (antes/después)</t>
  </si>
  <si>
    <t>Δ</t>
  </si>
  <si>
    <t>% reducción</t>
  </si>
  <si>
    <t>Hoja 1 · Generalidad — Cumplimiento PESV e inventario de movilidad</t>
  </si>
  <si>
    <t>Registro base MSSV · Resolución 40595 de 2022 (4 fases, 24 pasos)</t>
  </si>
  <si>
    <t>Autodiagnóstico PESV — 24 pasos (Resolución 40595 de 2022)</t>
  </si>
  <si>
    <t>Fase</t>
  </si>
  <si>
    <t>Paso</t>
  </si>
  <si>
    <t>Elemento del PESV</t>
  </si>
  <si>
    <t>Nivel aplicable</t>
  </si>
  <si>
    <t>Cumplimiento</t>
  </si>
  <si>
    <t>% avance</t>
  </si>
  <si>
    <t>Evidencia</t>
  </si>
  <si>
    <t>Observaciones</t>
  </si>
  <si>
    <t>F1</t>
  </si>
  <si>
    <t>1</t>
  </si>
  <si>
    <t>Líder del diseño e implementación del PESV</t>
  </si>
  <si>
    <t>Todos</t>
  </si>
  <si>
    <t>Cumple</t>
  </si>
  <si>
    <t>2</t>
  </si>
  <si>
    <t>Comité de seguridad vial</t>
  </si>
  <si>
    <t>Estándar y Avanzado</t>
  </si>
  <si>
    <t>3</t>
  </si>
  <si>
    <t>Política de seguridad vial de la organización</t>
  </si>
  <si>
    <t>4</t>
  </si>
  <si>
    <t>Liderazgo, compromiso y corresponsabilidad del nivel directivo</t>
  </si>
  <si>
    <t>5</t>
  </si>
  <si>
    <t>Diagnóstico</t>
  </si>
  <si>
    <t>6</t>
  </si>
  <si>
    <t>Caracterización, evaluación y control de riesgos</t>
  </si>
  <si>
    <t>Parcial</t>
  </si>
  <si>
    <t>7</t>
  </si>
  <si>
    <t>Objetivos y metas del PESV</t>
  </si>
  <si>
    <t>8</t>
  </si>
  <si>
    <t>Programas de gestión de riesgos críticos y factores de desempeño</t>
  </si>
  <si>
    <t>F2</t>
  </si>
  <si>
    <t>9</t>
  </si>
  <si>
    <t>Plan anual de trabajo</t>
  </si>
  <si>
    <t>10</t>
  </si>
  <si>
    <t>Competencia y plan anual de formación</t>
  </si>
  <si>
    <t>11</t>
  </si>
  <si>
    <t>Comportamiento humano (selección, documentación y conducta segura)</t>
  </si>
  <si>
    <t>12</t>
  </si>
  <si>
    <t>Atención a víctimas — protocolo de atención</t>
  </si>
  <si>
    <t>13</t>
  </si>
  <si>
    <t>Atención a víctimas — investigación de siniestros viales</t>
  </si>
  <si>
    <t>14</t>
  </si>
  <si>
    <t>Infraestructura segura — desplazamientos y rutas</t>
  </si>
  <si>
    <t>15</t>
  </si>
  <si>
    <t>Infraestructura segura — instalaciones y entorno físico</t>
  </si>
  <si>
    <t>16</t>
  </si>
  <si>
    <t>Vehículos seguros — mantenimiento preventivo y correctivo</t>
  </si>
  <si>
    <t>17</t>
  </si>
  <si>
    <t>Vehículos seguros — inspección y documentación</t>
  </si>
  <si>
    <t>18</t>
  </si>
  <si>
    <t>Paso adicional Res. 40595 (ajustar denominación según matriz)</t>
  </si>
  <si>
    <t>No cumple</t>
  </si>
  <si>
    <t>19</t>
  </si>
  <si>
    <t>F3</t>
  </si>
  <si>
    <t>20</t>
  </si>
  <si>
    <t>Indicadores y reporte de autogestión PESV</t>
  </si>
  <si>
    <t>21</t>
  </si>
  <si>
    <t>Registro y análisis estadístico de siniestros viales</t>
  </si>
  <si>
    <t>Avanzado</t>
  </si>
  <si>
    <t>22</t>
  </si>
  <si>
    <t>Auditoría anual</t>
  </si>
  <si>
    <t>F4</t>
  </si>
  <si>
    <t>23</t>
  </si>
  <si>
    <t>Mejora continua, acciones preventivas y correctivas</t>
  </si>
  <si>
    <t>24</t>
  </si>
  <si>
    <t>Mecanismos de comunicación y participación</t>
  </si>
  <si>
    <t>% de cumplimiento PESV (promedio de avance)</t>
  </si>
  <si>
    <t>Inventario de movilidad — actores viales</t>
  </si>
  <si>
    <t>Tipo</t>
  </si>
  <si>
    <t>Cantidad</t>
  </si>
  <si>
    <t>Peatones (colaboradores que se desplazan a pie)</t>
  </si>
  <si>
    <t>Ciclistas</t>
  </si>
  <si>
    <t>Usuarios de monopatín / patineta eléctrica</t>
  </si>
  <si>
    <t>Motociclistas</t>
  </si>
  <si>
    <t>Conductores de vehículo liviano</t>
  </si>
  <si>
    <t>Conductores de vehículo pesado</t>
  </si>
  <si>
    <t>Operadores de equipo especial (grúa, montacargas)</t>
  </si>
  <si>
    <t>Pasajeros</t>
  </si>
  <si>
    <t>Total actores viales</t>
  </si>
  <si>
    <t>Parque automotor</t>
  </si>
  <si>
    <t>Vehículos livianos</t>
  </si>
  <si>
    <t>Vehículos pesados / carga</t>
  </si>
  <si>
    <t>Motocicletas</t>
  </si>
  <si>
    <t>Bicicletas / monopatines (empresa)</t>
  </si>
  <si>
    <t>Equipo especial (grúas, montacargas)</t>
  </si>
  <si>
    <t>Total vehículos</t>
  </si>
  <si>
    <t>Cobertura operacional</t>
  </si>
  <si>
    <t>Concepto</t>
  </si>
  <si>
    <t>Sedes</t>
  </si>
  <si>
    <t>Ciudades con operación</t>
  </si>
  <si>
    <t>Rutas activas</t>
  </si>
  <si>
    <t>Km promedio recorridos / mes</t>
  </si>
  <si>
    <t>Hoja 2 · Vehículos — inventario, mantenimiento y operación</t>
  </si>
  <si>
    <t>Filtrable por placa, ciudad, zona, sede, ruta o conductor. Admite varios conductores. Días, anomalía y alerta se calculan solos.</t>
  </si>
  <si>
    <t>Identificación</t>
  </si>
  <si>
    <t>Ubicación y asignación</t>
  </si>
  <si>
    <t>Documentos y vencimientos</t>
  </si>
  <si>
    <t>Rutina de mantenimiento</t>
  </si>
  <si>
    <t>Combustible y rendimiento</t>
  </si>
  <si>
    <t>Ingeniería del vehículo</t>
  </si>
  <si>
    <t>Estado</t>
  </si>
  <si>
    <t>Placa</t>
  </si>
  <si>
    <t>Marca / línea</t>
  </si>
  <si>
    <t>Modelo (año)</t>
  </si>
  <si>
    <t>Ciudad</t>
  </si>
  <si>
    <t>Zona</t>
  </si>
  <si>
    <t>Sede</t>
  </si>
  <si>
    <t>Ruta(s) asignada(s)</t>
  </si>
  <si>
    <t>Conductor(es) asignado(s)</t>
  </si>
  <si>
    <t>SOAT vence</t>
  </si>
  <si>
    <t>Días SOAT</t>
  </si>
  <si>
    <t>RTM vence</t>
  </si>
  <si>
    <t>Días RTM</t>
  </si>
  <si>
    <t>Póliza RC vence</t>
  </si>
  <si>
    <t>Tarjeta operación vence</t>
  </si>
  <si>
    <t>Comparendos (RUNT)</t>
  </si>
  <si>
    <t>Últ. mantenimiento</t>
  </si>
  <si>
    <t>Km actual</t>
  </si>
  <si>
    <t>Km próx. mant.</t>
  </si>
  <si>
    <t>Cambio de aceite</t>
  </si>
  <si>
    <t>Llantas – labrado (mm)</t>
  </si>
  <si>
    <t>Luces y señales</t>
  </si>
  <si>
    <t>Preoperacional (últ.)</t>
  </si>
  <si>
    <t>Consumo (gal/mes)</t>
  </si>
  <si>
    <t>Rendimiento (km/gal)</t>
  </si>
  <si>
    <t>Rendimiento base (km/gal)</t>
  </si>
  <si>
    <t>Anomalía consumo (%)</t>
  </si>
  <si>
    <t>Seguridad activa (ABS/ESP)</t>
  </si>
  <si>
    <t>Seguridad pasiva (airbag/cinturón)</t>
  </si>
  <si>
    <t>GPS / telemetría</t>
  </si>
  <si>
    <t>Alerta</t>
  </si>
  <si>
    <t>ABC123</t>
  </si>
  <si>
    <t>Camioneta</t>
  </si>
  <si>
    <t>Toyota Hilux</t>
  </si>
  <si>
    <t>Bogotá</t>
  </si>
  <si>
    <t>Norte</t>
  </si>
  <si>
    <t>Planta principal</t>
  </si>
  <si>
    <t>R-01, R-03</t>
  </si>
  <si>
    <t>Juan Pérez / Luis Gómez</t>
  </si>
  <si>
    <t>OK</t>
  </si>
  <si>
    <t>Sí</t>
  </si>
  <si>
    <t>DEF456</t>
  </si>
  <si>
    <t>Furgón</t>
  </si>
  <si>
    <t>NPR 4T</t>
  </si>
  <si>
    <t>Medellín</t>
  </si>
  <si>
    <t>Sur</t>
  </si>
  <si>
    <t>Sede Medellín</t>
  </si>
  <si>
    <t>R-05</t>
  </si>
  <si>
    <t>Ana Ruiz</t>
  </si>
  <si>
    <t>Revisar</t>
  </si>
  <si>
    <t>No</t>
  </si>
  <si>
    <t>GHI789</t>
  </si>
  <si>
    <t>Automóvil</t>
  </si>
  <si>
    <t>Renault Logan</t>
  </si>
  <si>
    <t>Centro</t>
  </si>
  <si>
    <t>R-02</t>
  </si>
  <si>
    <t>Luis Gómez / Sara León</t>
  </si>
  <si>
    <t>JKL012</t>
  </si>
  <si>
    <t>Tractocamión</t>
  </si>
  <si>
    <t>Kenworth T800</t>
  </si>
  <si>
    <t>Cali</t>
  </si>
  <si>
    <t>Occidente</t>
  </si>
  <si>
    <t>Sede Cali</t>
  </si>
  <si>
    <t>R-08</t>
  </si>
  <si>
    <t>Pedro Díaz</t>
  </si>
  <si>
    <t>Falla</t>
  </si>
  <si>
    <t>MNO345</t>
  </si>
  <si>
    <t>Grúa</t>
  </si>
  <si>
    <t>Grúa telescópica</t>
  </si>
  <si>
    <t>Industrial</t>
  </si>
  <si>
    <t>N/A</t>
  </si>
  <si>
    <t>Sara León</t>
  </si>
  <si>
    <t>Hoja 3 · Personas — competencias y formación del actor vial</t>
  </si>
  <si>
    <t>Cursos, evaluaciones cognitivas (incluye manejo comentado nocturno) y licencia por conductor. ICC, resultado y alerta se calculan solos.</t>
  </si>
  <si>
    <t>Licencia y aptitud</t>
  </si>
  <si>
    <t>Formación</t>
  </si>
  <si>
    <t>Evaluaciones cognitivas</t>
  </si>
  <si>
    <t>Índice y resultado</t>
  </si>
  <si>
    <t>Documento</t>
  </si>
  <si>
    <t>Nombre</t>
  </si>
  <si>
    <t>Cargo</t>
  </si>
  <si>
    <t>Actor vial</t>
  </si>
  <si>
    <t>Vehículo(s) asignado(s)</t>
  </si>
  <si>
    <t>Lic. categoría</t>
  </si>
  <si>
    <t>Licencia vence</t>
  </si>
  <si>
    <t>Días licencia</t>
  </si>
  <si>
    <t>Psicosensométrico vence</t>
  </si>
  <si>
    <t>Estado de salud</t>
  </si>
  <si>
    <t>N° cursos SV</t>
  </si>
  <si>
    <t>Horas de formación</t>
  </si>
  <si>
    <t>Última capacitación</t>
  </si>
  <si>
    <t>Reentrenamiento programado</t>
  </si>
  <si>
    <t>Gestión de fatiga</t>
  </si>
  <si>
    <t>Primeros auxilios</t>
  </si>
  <si>
    <t>Resultado</t>
  </si>
  <si>
    <t>79123456</t>
  </si>
  <si>
    <t>Juan Pérez</t>
  </si>
  <si>
    <t>Conductor</t>
  </si>
  <si>
    <t>Conductor liviano</t>
  </si>
  <si>
    <t>C1</t>
  </si>
  <si>
    <t>Apto</t>
  </si>
  <si>
    <t>43111222</t>
  </si>
  <si>
    <t>Conductora</t>
  </si>
  <si>
    <t>Conductor pesado</t>
  </si>
  <si>
    <t>C2</t>
  </si>
  <si>
    <t>80222333</t>
  </si>
  <si>
    <t>Luis Gómez</t>
  </si>
  <si>
    <t>ABC123 / GHI789</t>
  </si>
  <si>
    <t>B1</t>
  </si>
  <si>
    <t>16333444</t>
  </si>
  <si>
    <t>C3</t>
  </si>
  <si>
    <t>No apto</t>
  </si>
  <si>
    <t>52444555</t>
  </si>
  <si>
    <t>Operadora</t>
  </si>
  <si>
    <t>Operador equipo especial</t>
  </si>
  <si>
    <t>MNO345 / GHI789</t>
  </si>
  <si>
    <t>Hoja 4 · Rutograma — análisis de riesgo de ruta</t>
  </si>
  <si>
    <t>Formato tipo TTI: información general, organismos de apoyo, mapa, análisis de ruta y puntos.</t>
  </si>
  <si>
    <t>Encabezado</t>
  </si>
  <si>
    <t>Código</t>
  </si>
  <si>
    <t>XXXX</t>
  </si>
  <si>
    <t>Versión</t>
  </si>
  <si>
    <t>01</t>
  </si>
  <si>
    <t>Fecha</t>
  </si>
  <si>
    <t>31/05/2025</t>
  </si>
  <si>
    <t>ID Ruta</t>
  </si>
  <si>
    <t>R-01</t>
  </si>
  <si>
    <t>Cliente / Proyecto</t>
  </si>
  <si>
    <t>EMPRESA CLIENTE S.A.S.</t>
  </si>
  <si>
    <t>Información general</t>
  </si>
  <si>
    <t>Origen</t>
  </si>
  <si>
    <t>Bogotá – Planta principal</t>
  </si>
  <si>
    <t>Destino</t>
  </si>
  <si>
    <t>Sopó – Cliente A</t>
  </si>
  <si>
    <t>Ruta alterna</t>
  </si>
  <si>
    <t>Autopista Norte – La Caro</t>
  </si>
  <si>
    <t>Sitios de parada autorizados</t>
  </si>
  <si>
    <t>Chía (peaje)</t>
  </si>
  <si>
    <t>Kms recorridos</t>
  </si>
  <si>
    <t>42 km</t>
  </si>
  <si>
    <t>Duración</t>
  </si>
  <si>
    <t>1 h 20 min</t>
  </si>
  <si>
    <t>Datos de contacto de la empresa</t>
  </si>
  <si>
    <t>Seguridad y Salud en el Trabajo</t>
  </si>
  <si>
    <t>Nombre / teléfono</t>
  </si>
  <si>
    <t>Operaciones</t>
  </si>
  <si>
    <t>Organismos de apoyo disponibles</t>
  </si>
  <si>
    <t>Entidad / organismo</t>
  </si>
  <si>
    <t>Municipio / sede</t>
  </si>
  <si>
    <t>Contacto (si aplica)</t>
  </si>
  <si>
    <t>Teléfono 1</t>
  </si>
  <si>
    <t>Teléfono 2</t>
  </si>
  <si>
    <t>Línea única de emergencias</t>
  </si>
  <si>
    <t>Nacional</t>
  </si>
  <si>
    <t>No aplica</t>
  </si>
  <si>
    <t>123</t>
  </si>
  <si>
    <t>Tránsito y transporte</t>
  </si>
  <si>
    <t>#767</t>
  </si>
  <si>
    <t>Emergencias médicas</t>
  </si>
  <si>
    <t>125</t>
  </si>
  <si>
    <t>Bomberos</t>
  </si>
  <si>
    <t>119</t>
  </si>
  <si>
    <t>Cruz Roja</t>
  </si>
  <si>
    <t>132</t>
  </si>
  <si>
    <t>Defensa Civil</t>
  </si>
  <si>
    <t>144</t>
  </si>
  <si>
    <t>Policía Nacional</t>
  </si>
  <si>
    <t>112</t>
  </si>
  <si>
    <t>Gaula del Ejército</t>
  </si>
  <si>
    <t>147</t>
  </si>
  <si>
    <t>Ciudad más cercana</t>
  </si>
  <si>
    <t>Mapa de la ruta</t>
  </si>
  <si>
    <t>Relacionar aquí el mapa de la ruta (insertar imagen o vincular mapa)</t>
  </si>
  <si>
    <t>Análisis de ruta — condiciones de riesgo (marque con X las más críticas)</t>
  </si>
  <si>
    <t>Señalización y normas de tránsito a tener en cuenta</t>
  </si>
  <si>
    <t>Calzada sin pavimentar / malla vial defectuosa</t>
  </si>
  <si>
    <t>Accidentes geográficos</t>
  </si>
  <si>
    <t>Alto flujo vehicular / cruces</t>
  </si>
  <si>
    <t>Riesgo público</t>
  </si>
  <si>
    <t>Curvas peligrosas</t>
  </si>
  <si>
    <t>Pendientes en ascenso / descenso</t>
  </si>
  <si>
    <t>Zonas pobladas, escolares y/o paso de ciclistas</t>
  </si>
  <si>
    <t>Señalización y/o infraestructura vial inadecuada</t>
  </si>
  <si>
    <t>Iluminación deficiente</t>
  </si>
  <si>
    <t>Intervenciones en la vía</t>
  </si>
  <si>
    <t>Presencia de semovientes</t>
  </si>
  <si>
    <t>Puente vehicular</t>
  </si>
  <si>
    <t>Naturales (desbordamientos, deslizamientos)</t>
  </si>
  <si>
    <t>Puntos de la ruta</t>
  </si>
  <si>
    <t>KM / vía / referencia</t>
  </si>
  <si>
    <t>Señales de tránsito</t>
  </si>
  <si>
    <t>Aspectos relevantes</t>
  </si>
  <si>
    <t>Controles existentes</t>
  </si>
  <si>
    <t>Recomendaciones de seguridad</t>
  </si>
  <si>
    <t>Riesgo más relevante</t>
  </si>
  <si>
    <t>Informe general — Cumplimiento PESV e inventario</t>
  </si>
  <si>
    <t>Reporte de la Hoja 1</t>
  </si>
  <si>
    <t>Datos del cliente</t>
  </si>
  <si>
    <t>Empresa</t>
  </si>
  <si>
    <t>NIT</t>
  </si>
  <si>
    <t>900.000.000-0</t>
  </si>
  <si>
    <t>Sede principal</t>
  </si>
  <si>
    <t>Bogotá D.C.</t>
  </si>
  <si>
    <t>Responsable PESV</t>
  </si>
  <si>
    <t>Roger Pérez</t>
  </si>
  <si>
    <t>Fecha de corte</t>
  </si>
  <si>
    <t>Nivel PESV</t>
  </si>
  <si>
    <t>N° informe</t>
  </si>
  <si>
    <t>RM-SV-2025-01</t>
  </si>
  <si>
    <t>Cumplimiento PESV (24 pasos)</t>
  </si>
  <si>
    <t>% cumplimiento global</t>
  </si>
  <si>
    <t>Pasos que cumplen</t>
  </si>
  <si>
    <t>Pasos parciales</t>
  </si>
  <si>
    <t>Pasos sin cumplir</t>
  </si>
  <si>
    <t>Inventario de movilidad</t>
  </si>
  <si>
    <t>Informe de flota — Vehículos, mantenimiento y alertas</t>
  </si>
  <si>
    <t>Reporte de la Hoja 2</t>
  </si>
  <si>
    <t>Estado de la flota</t>
  </si>
  <si>
    <t>Total de vehículos</t>
  </si>
  <si>
    <t>Con alerta</t>
  </si>
  <si>
    <t>SOAT por vencer (≤30 d)</t>
  </si>
  <si>
    <t>RTM por vencer (≤30 d)</t>
  </si>
  <si>
    <t>Documentos vencidos</t>
  </si>
  <si>
    <t>Con comparendos</t>
  </si>
  <si>
    <t>Informe de personas — Competencias y formación</t>
  </si>
  <si>
    <t>Reporte de la Hoja 3</t>
  </si>
  <si>
    <t>Competencias del actor vial</t>
  </si>
  <si>
    <t>Total de conductores</t>
  </si>
  <si>
    <t>% aprobados (ICC≥70)</t>
  </si>
  <si>
    <t>ICC promedio de la flota</t>
  </si>
  <si>
    <t>No aprobados</t>
  </si>
  <si>
    <t>Licencias por vencer (≤30 d)</t>
  </si>
  <si>
    <t>Licencias vencidas</t>
  </si>
  <si>
    <t>Informe de rutograma — Riesgo de ruta</t>
  </si>
  <si>
    <t>Reporte de la Hoja 4</t>
  </si>
  <si>
    <t>Riesgo de la ruta analizada</t>
  </si>
  <si>
    <t>Ruta</t>
  </si>
  <si>
    <t>Distancia</t>
  </si>
  <si>
    <t>Ver ficha</t>
  </si>
  <si>
    <t>Condiciones de riesgo marcadas</t>
  </si>
  <si>
    <t>Ver Hoja 4</t>
  </si>
  <si>
    <t>Puntos analizados</t>
  </si>
  <si>
    <t>Panel de alertas — consolidado</t>
  </si>
  <si>
    <t>Alertas activas de flota y conductores</t>
  </si>
  <si>
    <t>Vehículos</t>
  </si>
  <si>
    <t>Vehículos vencidos</t>
  </si>
  <si>
    <t>Vehículos en alerta</t>
  </si>
  <si>
    <t>SOAT/RTM por vencer (≤30 d)</t>
  </si>
  <si>
    <t>Conductores</t>
  </si>
  <si>
    <t>No aprobados (ICC&lt;70)</t>
  </si>
  <si>
    <t>Conductores en alerta</t>
  </si>
  <si>
    <t>Para ver el detalle, filtra la columna Alerta en las hojas 2 y 3 por 'Alerta', 'Vencido' o 'Licencia vencida'.</t>
  </si>
  <si>
    <t>Leyenda y guía de uso</t>
  </si>
  <si>
    <t>Estructura del libro</t>
  </si>
  <si>
    <t>Diccionario: catálogo de todas las variables por categoría (mismo formato del libro de higiene).</t>
  </si>
  <si>
    <t>Hoja 1 · Generalidad: 24 pasos del PESV (Res. 40595/2022) + inventario de movilidad (incluye peatones, ciclistas y monopatines).</t>
  </si>
  <si>
    <t>Hoja 2 · Vehículos: registro amplio con documentos, rutina de mantenimiento (prueba de frenado, alineación, llantas), combustible y rendimiento, e ingeniería del vehículo. Admite varios conductores.</t>
  </si>
  <si>
    <t>Hoja 3 · Personas: competencias cognitivas (incluye manejo comentado diurno y nocturno), formación y licencia.</t>
  </si>
  <si>
    <t>Hoja 4 · Rutograma: formato TTI — información general, organismos de apoyo, mapa, condiciones de riesgo y puntos de la ruta.</t>
  </si>
  <si>
    <t>Reportes H1–H4 y Panel de alertas: informes resumen que se calculan solos desde las hojas.</t>
  </si>
  <si>
    <t>Colores y cálculo</t>
  </si>
  <si>
    <t>Amarillo = celda editable. Gris = celda calculada (no editar).</t>
  </si>
  <si>
    <t>Alertas de vehículos: vencimientos, comparendos, km de mantenimiento, anomalía de consumo (≥15%), labrado &lt;2 mm o prueba de frenado en falla.</t>
  </si>
  <si>
    <t>ICC (Hoja 3) = promedio de las 9 evaluaciones; Aprobado si ICC ≥ 70. Alerta también si el estado de salud es 'No apto'.</t>
  </si>
  <si>
    <t>Notas</t>
  </si>
  <si>
    <t>Pasos 18 y 19 del PESV: ajusta su denominación exacta según tu matriz y nivel.</t>
  </si>
  <si>
    <t>Registro base: alimentará el dashboard visual en una fase posterior.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</si>
</sst>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\%"/>
    <numFmt numFmtId="165" formatCode="dd/mm/yyyy"/>
  </numFmts>
  <fonts count="12" x14ac:knownFonts="1">
    <font>
      <sz val="11"/>
      <color theme="1"/>
      <name val="Calibri"/>
      <family val="2"/>
      <charset val="1"/>
    </font>
    <font>
      <b/>
      <sz val="14"/>
      <color rgb="FF1F3A5F"/>
      <name val="Arial"/>
      <charset val="1"/>
    </font>
    <font>
      <i/>
      <sz val="10"/>
      <color rgb="FF5F5E5A"/>
      <name val="Arial"/>
      <charset val="1"/>
    </font>
    <font>
      <b/>
      <sz val="10"/>
      <color rgb="FFFFFFFF"/>
      <name val="Arial"/>
      <charset val="1"/>
    </font>
    <font>
      <b/>
      <sz val="10"/>
      <color rgb="FF2C2C2A"/>
      <name val="Arial"/>
      <charset val="1"/>
    </font>
    <font>
      <sz val="10"/>
      <color rgb="FF2C2C2A"/>
      <name val="Arial"/>
      <charset val="1"/>
    </font>
    <font>
      <b/>
      <sz val="11"/>
      <color rgb="FFFFFFFF"/>
      <name val="Arial"/>
      <charset val="1"/>
    </font>
    <font>
      <b/>
      <sz val="11"/>
      <color rgb="FF1F3A5F"/>
      <name val="Arial"/>
      <charset val="1"/>
    </font>
    <font>
      <b/>
      <sz val="10"/>
      <color rgb="FF1F3A5F"/>
      <name val="Arial"/>
      <charset val="1"/>
    </font>
    <font>
      <b/>
      <sz val="9"/>
      <color rgb="FFFFFFFF"/>
      <name val="Arial"/>
      <charset val="1"/>
    </font>
    <font>
      <sz val="10"/>
      <color rgb="FF1F4E79"/>
      <name val="Arial"/>
      <charset val="1"/>
    </font>
    <font>
      <b/>
      <sz val="13"/>
      <color rgb="FF1F3A5F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A5F"/>
        <bgColor rgb="FF2E4A6B"/>
      </patternFill>
    </fill>
    <fill>
      <patternFill patternType="solid">
        <fgColor rgb="FFEAECEF"/>
        <bgColor rgb="FFE4EEF8"/>
      </patternFill>
    </fill>
    <fill>
      <patternFill patternType="solid">
        <fgColor rgb="FFE4EEF8"/>
        <bgColor rgb="FFEAECEF"/>
      </patternFill>
    </fill>
    <fill>
      <patternFill patternType="solid">
        <fgColor rgb="FFFBF0DA"/>
        <bgColor rgb="FFFFF2CC"/>
      </patternFill>
    </fill>
    <fill>
      <patternFill patternType="solid">
        <fgColor rgb="FFE1F2EC"/>
        <bgColor rgb="FFE4EEF8"/>
      </patternFill>
    </fill>
    <fill>
      <patternFill patternType="solid">
        <fgColor rgb="FFEFEDFB"/>
        <bgColor rgb="FFEEF1F4"/>
      </patternFill>
    </fill>
    <fill>
      <patternFill patternType="solid">
        <fgColor rgb="FFFAE7E1"/>
        <bgColor rgb="FFFBF0DA"/>
      </patternFill>
    </fill>
    <fill>
      <patternFill patternType="solid">
        <fgColor rgb="FF4A6785"/>
        <bgColor rgb="FF5F5E5A"/>
      </patternFill>
    </fill>
    <fill>
      <patternFill patternType="solid">
        <fgColor rgb="FFFFF2CC"/>
        <bgColor rgb="FFFBF0DA"/>
      </patternFill>
    </fill>
    <fill>
      <patternFill patternType="solid">
        <fgColor rgb="FF2E4A6B"/>
        <bgColor rgb="FF1F4E79"/>
      </patternFill>
    </fill>
    <fill>
      <patternFill patternType="solid">
        <fgColor rgb="FFEEF1F4"/>
        <bgColor rgb="FFEFEDFB"/>
      </patternFill>
    </fill>
    <fill>
      <patternFill patternType="solid">
        <fgColor rgb="FFF7F8FA"/>
        <bgColor rgb="FFFFFFFF"/>
      </patternFill>
    </fill>
  </fills>
  <borders count="3">
    <border>
      <left/>
      <right/>
      <top/>
      <bottom/>
      <diagonal/>
    </border>
    <border>
      <left style="thin">
        <color rgb="FFC9CDD3"/>
      </left>
      <right style="thin">
        <color rgb="FFC9CDD3"/>
      </right>
      <top style="thin">
        <color rgb="FFC9CDD3"/>
      </top>
      <bottom style="thin">
        <color rgb="FFC9CDD3"/>
      </bottom>
      <diagonal/>
    </border>
    <border>
      <left style="thin">
        <color rgb="FFC9CDD3"/>
      </left>
      <right/>
      <top style="thin">
        <color rgb="FFC9CDD3"/>
      </top>
      <bottom style="thin">
        <color rgb="FFC9CDD3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2" fillId="0" borderId="0" xfId="0" applyFont="1" applyAlignment="1">
      <alignment vertical="top" wrapText="1"/>
    </xf>
    <xf numFmtId="0" fontId="1" fillId="0" borderId="0" xfId="0" applyFont="1"/>
    <xf numFmtId="0" fontId="5" fillId="10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5" fillId="10" borderId="2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3" fillId="9" borderId="1" xfId="0" applyFont="1" applyFill="1" applyBorder="1"/>
    <xf numFmtId="0" fontId="6" fillId="2" borderId="0" xfId="0" applyFont="1" applyFill="1" applyAlignment="1">
      <alignment horizontal="left" vertical="center"/>
    </xf>
    <xf numFmtId="0" fontId="2" fillId="0" borderId="0" xfId="0" applyFont="1"/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3" fillId="9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5" fillId="10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64" fontId="7" fillId="0" borderId="0" xfId="0" applyNumberFormat="1" applyFont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165" fontId="5" fillId="10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0" xfId="0" applyFont="1"/>
    <xf numFmtId="0" fontId="10" fillId="10" borderId="1" xfId="0" applyFont="1" applyFill="1" applyBorder="1"/>
    <xf numFmtId="164" fontId="7" fillId="0" borderId="0" xfId="0" applyNumberFormat="1" applyFont="1"/>
    <xf numFmtId="0" fontId="7" fillId="0" borderId="0" xfId="0" applyFont="1"/>
    <xf numFmtId="9" fontId="7" fillId="0" borderId="0" xfId="0" applyNumberFormat="1" applyFont="1"/>
    <xf numFmtId="0" fontId="11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11"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9A6A16"/>
        <name val="Arial"/>
        <charset val="1"/>
      </font>
      <fill>
        <patternFill>
          <bgColor rgb="FFFBF0DA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9A6A16"/>
        <name val="Arial"/>
        <charset val="1"/>
      </font>
      <fill>
        <patternFill>
          <bgColor rgb="FFFBF0DA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  <dxf>
      <font>
        <b/>
        <sz val="10"/>
        <color rgb="FFA32D2D"/>
        <name val="Arial"/>
        <charset val="1"/>
      </font>
      <fill>
        <patternFill>
          <bgColor rgb="FFFAE7E1"/>
        </patternFill>
      </fill>
    </dxf>
    <dxf>
      <font>
        <b/>
        <sz val="10"/>
        <color rgb="FF9A6A16"/>
        <name val="Arial"/>
        <charset val="1"/>
      </font>
      <fill>
        <patternFill>
          <bgColor rgb="FFFBF0DA"/>
        </patternFill>
      </fill>
    </dxf>
    <dxf>
      <font>
        <b/>
        <sz val="10"/>
        <color rgb="FF0F6E56"/>
        <name val="Arial"/>
        <charset val="1"/>
      </font>
      <fill>
        <patternFill>
          <bgColor rgb="FFE1F2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A16"/>
      <rgbColor rgb="FF800080"/>
      <rgbColor rgb="FF0F6E56"/>
      <rgbColor rgb="FFC9CDD3"/>
      <rgbColor rgb="FF5F5E5A"/>
      <rgbColor rgb="FF9999FF"/>
      <rgbColor rgb="FF993366"/>
      <rgbColor rgb="FFFFF2CC"/>
      <rgbColor rgb="FFE1F2EC"/>
      <rgbColor rgb="FF660066"/>
      <rgbColor rgb="FFFF8080"/>
      <rgbColor rgb="FF1F4E79"/>
      <rgbColor rgb="FFEFEDF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4EEF8"/>
      <rgbColor rgb="FFEAECEF"/>
      <rgbColor rgb="FFFBF0DA"/>
      <rgbColor rgb="FFEEF1F4"/>
      <rgbColor rgb="FFF7F8FA"/>
      <rgbColor rgb="FFCC99FF"/>
      <rgbColor rgb="FFFAE7E1"/>
      <rgbColor rgb="FF3366FF"/>
      <rgbColor rgb="FF33CCCC"/>
      <rgbColor rgb="FF99CC00"/>
      <rgbColor rgb="FFFFCC00"/>
      <rgbColor rgb="FFFF9900"/>
      <rgbColor rgb="FFFF6600"/>
      <rgbColor rgb="FF4A6785"/>
      <rgbColor rgb="FF969696"/>
      <rgbColor rgb="FF1F3A5F"/>
      <rgbColor rgb="FF339966"/>
      <rgbColor rgb="FF003300"/>
      <rgbColor rgb="FF333300"/>
      <rgbColor rgb="FFA32D2D"/>
      <rgbColor rgb="FF993366"/>
      <rgbColor rgb="FF2E4A6B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showGridLines="0" zoomScaleNormal="100" workbookViewId="0">
      <pane ySplit="4" topLeftCell="A5" activePane="bottomLeft" state="frozen"/>
      <selection pane="bottomLeft" sqref="A1:F1"/>
    </sheetView>
  </sheetViews>
  <sheetFormatPr baseColWidth="10" defaultColWidth="8.6640625" defaultRowHeight="14.4" x14ac:dyDescent="0.3"/>
  <cols>
    <col min="1" max="1" width="22" customWidth="1"/>
    <col min="2" max="2" width="44" customWidth="1"/>
    <col min="3" max="3" width="16" customWidth="1"/>
    <col min="4" max="4" width="20" customWidth="1"/>
    <col min="5" max="5" width="16" customWidth="1"/>
    <col min="6" max="6" width="26" customWidth="1"/>
  </cols>
  <sheetData>
    <row r="1" spans="1:6" ht="24" customHeight="1" x14ac:dyDescent="0.3">
      <c r="A1" s="13" t="s">
        <v>0</v>
      </c>
      <c r="B1" s="13"/>
      <c r="C1" s="13"/>
      <c r="D1" s="13"/>
      <c r="E1" s="13"/>
      <c r="F1" s="13"/>
    </row>
    <row r="2" spans="1:6" x14ac:dyDescent="0.3">
      <c r="A2" s="12" t="s">
        <v>1</v>
      </c>
      <c r="B2" s="12"/>
      <c r="C2" s="12"/>
      <c r="D2" s="12"/>
      <c r="E2" s="12"/>
      <c r="F2" s="12"/>
    </row>
    <row r="4" spans="1:6" ht="19.5" customHeight="1" x14ac:dyDescent="0.3">
      <c r="A4" s="14" t="s">
        <v>2</v>
      </c>
      <c r="B4" s="14" t="s">
        <v>3</v>
      </c>
      <c r="C4" s="14" t="s">
        <v>4</v>
      </c>
      <c r="D4" s="14" t="s">
        <v>5</v>
      </c>
      <c r="E4" s="14" t="s">
        <v>6</v>
      </c>
      <c r="F4" s="14" t="s">
        <v>7</v>
      </c>
    </row>
    <row r="5" spans="1:6" x14ac:dyDescent="0.3">
      <c r="A5" s="15" t="s">
        <v>8</v>
      </c>
      <c r="B5" s="16" t="s">
        <v>9</v>
      </c>
      <c r="C5" s="17" t="s">
        <v>10</v>
      </c>
      <c r="D5" s="17" t="s">
        <v>11</v>
      </c>
      <c r="E5" s="17" t="s">
        <v>12</v>
      </c>
      <c r="F5" s="16" t="s">
        <v>13</v>
      </c>
    </row>
    <row r="6" spans="1:6" x14ac:dyDescent="0.3">
      <c r="A6" s="15" t="s">
        <v>8</v>
      </c>
      <c r="B6" s="16" t="s">
        <v>14</v>
      </c>
      <c r="C6" s="17" t="s">
        <v>15</v>
      </c>
      <c r="D6" s="17" t="s">
        <v>16</v>
      </c>
      <c r="E6" s="17" t="s">
        <v>12</v>
      </c>
      <c r="F6" s="16" t="s">
        <v>10</v>
      </c>
    </row>
    <row r="7" spans="1:6" x14ac:dyDescent="0.3">
      <c r="A7" s="15" t="s">
        <v>8</v>
      </c>
      <c r="B7" s="16" t="s">
        <v>17</v>
      </c>
      <c r="C7" s="17" t="s">
        <v>18</v>
      </c>
      <c r="D7" s="17" t="s">
        <v>16</v>
      </c>
      <c r="E7" s="17" t="s">
        <v>19</v>
      </c>
      <c r="F7" s="16" t="s">
        <v>10</v>
      </c>
    </row>
    <row r="8" spans="1:6" x14ac:dyDescent="0.3">
      <c r="A8" s="18" t="s">
        <v>20</v>
      </c>
      <c r="B8" s="16" t="s">
        <v>21</v>
      </c>
      <c r="C8" s="17" t="s">
        <v>10</v>
      </c>
      <c r="D8" s="17" t="s">
        <v>22</v>
      </c>
      <c r="E8" s="17" t="s">
        <v>23</v>
      </c>
      <c r="F8" s="16" t="s">
        <v>10</v>
      </c>
    </row>
    <row r="9" spans="1:6" x14ac:dyDescent="0.3">
      <c r="A9" s="18" t="s">
        <v>20</v>
      </c>
      <c r="B9" s="16" t="s">
        <v>24</v>
      </c>
      <c r="C9" s="17" t="s">
        <v>10</v>
      </c>
      <c r="D9" s="17" t="s">
        <v>22</v>
      </c>
      <c r="E9" s="17" t="s">
        <v>23</v>
      </c>
      <c r="F9" s="16" t="s">
        <v>10</v>
      </c>
    </row>
    <row r="10" spans="1:6" x14ac:dyDescent="0.3">
      <c r="A10" s="18" t="s">
        <v>20</v>
      </c>
      <c r="B10" s="16" t="s">
        <v>25</v>
      </c>
      <c r="C10" s="17" t="s">
        <v>10</v>
      </c>
      <c r="D10" s="17" t="s">
        <v>22</v>
      </c>
      <c r="E10" s="17" t="s">
        <v>23</v>
      </c>
      <c r="F10" s="16" t="s">
        <v>10</v>
      </c>
    </row>
    <row r="11" spans="1:6" x14ac:dyDescent="0.3">
      <c r="A11" s="19" t="s">
        <v>26</v>
      </c>
      <c r="B11" s="16" t="s">
        <v>27</v>
      </c>
      <c r="C11" s="17" t="s">
        <v>10</v>
      </c>
      <c r="D11" s="17" t="s">
        <v>28</v>
      </c>
      <c r="E11" s="17" t="s">
        <v>29</v>
      </c>
      <c r="F11" s="16" t="s">
        <v>30</v>
      </c>
    </row>
    <row r="12" spans="1:6" x14ac:dyDescent="0.3">
      <c r="A12" s="19" t="s">
        <v>26</v>
      </c>
      <c r="B12" s="16" t="s">
        <v>31</v>
      </c>
      <c r="C12" s="17" t="s">
        <v>10</v>
      </c>
      <c r="D12" s="17" t="s">
        <v>22</v>
      </c>
      <c r="E12" s="17" t="s">
        <v>23</v>
      </c>
      <c r="F12" s="16" t="s">
        <v>32</v>
      </c>
    </row>
    <row r="13" spans="1:6" x14ac:dyDescent="0.3">
      <c r="A13" s="19" t="s">
        <v>26</v>
      </c>
      <c r="B13" s="16" t="s">
        <v>33</v>
      </c>
      <c r="C13" s="17" t="s">
        <v>10</v>
      </c>
      <c r="D13" s="17" t="s">
        <v>16</v>
      </c>
      <c r="E13" s="17" t="s">
        <v>19</v>
      </c>
      <c r="F13" s="16" t="s">
        <v>34</v>
      </c>
    </row>
    <row r="14" spans="1:6" x14ac:dyDescent="0.3">
      <c r="A14" s="19" t="s">
        <v>26</v>
      </c>
      <c r="B14" s="16" t="s">
        <v>35</v>
      </c>
      <c r="C14" s="17" t="s">
        <v>10</v>
      </c>
      <c r="D14" s="17" t="s">
        <v>36</v>
      </c>
      <c r="E14" s="17" t="s">
        <v>12</v>
      </c>
      <c r="F14" s="16" t="s">
        <v>37</v>
      </c>
    </row>
    <row r="15" spans="1:6" x14ac:dyDescent="0.3">
      <c r="A15" s="19" t="s">
        <v>26</v>
      </c>
      <c r="B15" s="16" t="s">
        <v>38</v>
      </c>
      <c r="C15" s="17" t="s">
        <v>10</v>
      </c>
      <c r="D15" s="17" t="s">
        <v>39</v>
      </c>
      <c r="E15" s="17" t="s">
        <v>12</v>
      </c>
      <c r="F15" s="16" t="s">
        <v>40</v>
      </c>
    </row>
    <row r="16" spans="1:6" x14ac:dyDescent="0.3">
      <c r="A16" s="19" t="s">
        <v>26</v>
      </c>
      <c r="B16" s="16" t="s">
        <v>41</v>
      </c>
      <c r="C16" s="17" t="s">
        <v>10</v>
      </c>
      <c r="D16" s="17" t="s">
        <v>42</v>
      </c>
      <c r="E16" s="17" t="s">
        <v>23</v>
      </c>
      <c r="F16" s="16" t="s">
        <v>43</v>
      </c>
    </row>
    <row r="17" spans="1:6" x14ac:dyDescent="0.3">
      <c r="A17" s="19" t="s">
        <v>26</v>
      </c>
      <c r="B17" s="16" t="s">
        <v>44</v>
      </c>
      <c r="C17" s="17" t="s">
        <v>10</v>
      </c>
      <c r="D17" s="17" t="s">
        <v>45</v>
      </c>
      <c r="E17" s="17" t="s">
        <v>23</v>
      </c>
      <c r="F17" s="16" t="s">
        <v>10</v>
      </c>
    </row>
    <row r="18" spans="1:6" x14ac:dyDescent="0.3">
      <c r="A18" s="19" t="s">
        <v>26</v>
      </c>
      <c r="B18" s="16" t="s">
        <v>46</v>
      </c>
      <c r="C18" s="17" t="s">
        <v>10</v>
      </c>
      <c r="D18" s="17" t="s">
        <v>47</v>
      </c>
      <c r="E18" s="17" t="s">
        <v>19</v>
      </c>
      <c r="F18" s="16" t="s">
        <v>48</v>
      </c>
    </row>
    <row r="19" spans="1:6" x14ac:dyDescent="0.3">
      <c r="A19" s="19" t="s">
        <v>26</v>
      </c>
      <c r="B19" s="16" t="s">
        <v>49</v>
      </c>
      <c r="C19" s="17" t="s">
        <v>10</v>
      </c>
      <c r="D19" s="17" t="s">
        <v>50</v>
      </c>
      <c r="E19" s="17" t="s">
        <v>19</v>
      </c>
      <c r="F19" s="16" t="s">
        <v>51</v>
      </c>
    </row>
    <row r="20" spans="1:6" x14ac:dyDescent="0.3">
      <c r="A20" s="19" t="s">
        <v>26</v>
      </c>
      <c r="B20" s="16" t="s">
        <v>52</v>
      </c>
      <c r="C20" s="17" t="s">
        <v>10</v>
      </c>
      <c r="D20" s="17" t="s">
        <v>53</v>
      </c>
      <c r="E20" s="17" t="s">
        <v>12</v>
      </c>
      <c r="F20" s="16" t="s">
        <v>10</v>
      </c>
    </row>
    <row r="21" spans="1:6" x14ac:dyDescent="0.3">
      <c r="A21" s="20" t="s">
        <v>54</v>
      </c>
      <c r="B21" s="16" t="s">
        <v>55</v>
      </c>
      <c r="C21" s="17" t="s">
        <v>10</v>
      </c>
      <c r="D21" s="17" t="s">
        <v>28</v>
      </c>
      <c r="E21" s="17" t="s">
        <v>23</v>
      </c>
      <c r="F21" s="16" t="s">
        <v>30</v>
      </c>
    </row>
    <row r="22" spans="1:6" x14ac:dyDescent="0.3">
      <c r="A22" s="20" t="s">
        <v>54</v>
      </c>
      <c r="B22" s="16" t="s">
        <v>56</v>
      </c>
      <c r="C22" s="17" t="s">
        <v>10</v>
      </c>
      <c r="D22" s="17" t="s">
        <v>57</v>
      </c>
      <c r="E22" s="17" t="s">
        <v>12</v>
      </c>
      <c r="F22" s="16" t="s">
        <v>58</v>
      </c>
    </row>
    <row r="23" spans="1:6" x14ac:dyDescent="0.3">
      <c r="A23" s="20" t="s">
        <v>54</v>
      </c>
      <c r="B23" s="16" t="s">
        <v>59</v>
      </c>
      <c r="C23" s="17" t="s">
        <v>10</v>
      </c>
      <c r="D23" s="17" t="s">
        <v>60</v>
      </c>
      <c r="E23" s="17" t="s">
        <v>23</v>
      </c>
      <c r="F23" s="16" t="s">
        <v>61</v>
      </c>
    </row>
    <row r="24" spans="1:6" x14ac:dyDescent="0.3">
      <c r="A24" s="20" t="s">
        <v>54</v>
      </c>
      <c r="B24" s="16" t="s">
        <v>62</v>
      </c>
      <c r="C24" s="17" t="s">
        <v>63</v>
      </c>
      <c r="D24" s="17" t="s">
        <v>64</v>
      </c>
      <c r="E24" s="17" t="s">
        <v>12</v>
      </c>
      <c r="F24" s="16" t="s">
        <v>65</v>
      </c>
    </row>
    <row r="25" spans="1:6" x14ac:dyDescent="0.3">
      <c r="A25" s="20" t="s">
        <v>54</v>
      </c>
      <c r="B25" s="16" t="s">
        <v>66</v>
      </c>
      <c r="C25" s="17" t="s">
        <v>63</v>
      </c>
      <c r="D25" s="17" t="s">
        <v>64</v>
      </c>
      <c r="E25" s="17" t="s">
        <v>12</v>
      </c>
      <c r="F25" s="16" t="s">
        <v>65</v>
      </c>
    </row>
    <row r="26" spans="1:6" x14ac:dyDescent="0.3">
      <c r="A26" s="20" t="s">
        <v>54</v>
      </c>
      <c r="B26" s="16" t="s">
        <v>67</v>
      </c>
      <c r="C26" s="17" t="s">
        <v>63</v>
      </c>
      <c r="D26" s="17" t="s">
        <v>64</v>
      </c>
      <c r="E26" s="17" t="s">
        <v>12</v>
      </c>
      <c r="F26" s="16" t="s">
        <v>65</v>
      </c>
    </row>
    <row r="27" spans="1:6" x14ac:dyDescent="0.3">
      <c r="A27" s="20" t="s">
        <v>54</v>
      </c>
      <c r="B27" s="16" t="s">
        <v>68</v>
      </c>
      <c r="C27" s="17" t="s">
        <v>63</v>
      </c>
      <c r="D27" s="17" t="s">
        <v>64</v>
      </c>
      <c r="E27" s="17" t="s">
        <v>12</v>
      </c>
      <c r="F27" s="16" t="s">
        <v>65</v>
      </c>
    </row>
    <row r="28" spans="1:6" x14ac:dyDescent="0.3">
      <c r="A28" s="20" t="s">
        <v>54</v>
      </c>
      <c r="B28" s="16" t="s">
        <v>69</v>
      </c>
      <c r="C28" s="17" t="s">
        <v>63</v>
      </c>
      <c r="D28" s="17" t="s">
        <v>64</v>
      </c>
      <c r="E28" s="17" t="s">
        <v>12</v>
      </c>
      <c r="F28" s="16" t="s">
        <v>65</v>
      </c>
    </row>
    <row r="29" spans="1:6" x14ac:dyDescent="0.3">
      <c r="A29" s="20" t="s">
        <v>54</v>
      </c>
      <c r="B29" s="16" t="s">
        <v>70</v>
      </c>
      <c r="C29" s="17" t="s">
        <v>63</v>
      </c>
      <c r="D29" s="17" t="s">
        <v>64</v>
      </c>
      <c r="E29" s="17" t="s">
        <v>12</v>
      </c>
      <c r="F29" s="16" t="s">
        <v>65</v>
      </c>
    </row>
    <row r="30" spans="1:6" x14ac:dyDescent="0.3">
      <c r="A30" s="20" t="s">
        <v>54</v>
      </c>
      <c r="B30" s="16" t="s">
        <v>71</v>
      </c>
      <c r="C30" s="17" t="s">
        <v>63</v>
      </c>
      <c r="D30" s="17" t="s">
        <v>64</v>
      </c>
      <c r="E30" s="17" t="s">
        <v>12</v>
      </c>
      <c r="F30" s="16" t="s">
        <v>65</v>
      </c>
    </row>
    <row r="31" spans="1:6" x14ac:dyDescent="0.3">
      <c r="A31" s="20" t="s">
        <v>54</v>
      </c>
      <c r="B31" s="16" t="s">
        <v>72</v>
      </c>
      <c r="C31" s="17" t="s">
        <v>63</v>
      </c>
      <c r="D31" s="17" t="s">
        <v>64</v>
      </c>
      <c r="E31" s="17" t="s">
        <v>12</v>
      </c>
      <c r="F31" s="16" t="s">
        <v>65</v>
      </c>
    </row>
    <row r="32" spans="1:6" x14ac:dyDescent="0.3">
      <c r="A32" s="20" t="s">
        <v>54</v>
      </c>
      <c r="B32" s="16" t="s">
        <v>73</v>
      </c>
      <c r="C32" s="17" t="s">
        <v>63</v>
      </c>
      <c r="D32" s="17" t="s">
        <v>64</v>
      </c>
      <c r="E32" s="17" t="s">
        <v>12</v>
      </c>
      <c r="F32" s="16" t="s">
        <v>65</v>
      </c>
    </row>
    <row r="33" spans="1:6" x14ac:dyDescent="0.3">
      <c r="A33" s="20" t="s">
        <v>54</v>
      </c>
      <c r="B33" s="16" t="s">
        <v>74</v>
      </c>
      <c r="C33" s="17" t="s">
        <v>75</v>
      </c>
      <c r="D33" s="17" t="s">
        <v>64</v>
      </c>
      <c r="E33" s="17" t="s">
        <v>19</v>
      </c>
      <c r="F33" s="16" t="s">
        <v>65</v>
      </c>
    </row>
    <row r="34" spans="1:6" x14ac:dyDescent="0.3">
      <c r="A34" s="21" t="s">
        <v>76</v>
      </c>
      <c r="B34" s="16" t="s">
        <v>77</v>
      </c>
      <c r="C34" s="17" t="s">
        <v>10</v>
      </c>
      <c r="D34" s="17" t="s">
        <v>78</v>
      </c>
      <c r="E34" s="17" t="s">
        <v>12</v>
      </c>
      <c r="F34" s="16" t="s">
        <v>10</v>
      </c>
    </row>
    <row r="35" spans="1:6" x14ac:dyDescent="0.3">
      <c r="A35" s="21" t="s">
        <v>76</v>
      </c>
      <c r="B35" s="16" t="s">
        <v>79</v>
      </c>
      <c r="C35" s="17" t="s">
        <v>10</v>
      </c>
      <c r="D35" s="17" t="s">
        <v>80</v>
      </c>
      <c r="E35" s="17" t="s">
        <v>12</v>
      </c>
      <c r="F35" s="16" t="s">
        <v>10</v>
      </c>
    </row>
    <row r="36" spans="1:6" x14ac:dyDescent="0.3">
      <c r="A36" s="21" t="s">
        <v>76</v>
      </c>
      <c r="B36" s="16" t="s">
        <v>81</v>
      </c>
      <c r="C36" s="17" t="s">
        <v>10</v>
      </c>
      <c r="D36" s="17" t="s">
        <v>82</v>
      </c>
      <c r="E36" s="17" t="s">
        <v>83</v>
      </c>
      <c r="F36" s="16" t="s">
        <v>10</v>
      </c>
    </row>
    <row r="37" spans="1:6" x14ac:dyDescent="0.3">
      <c r="A37" s="21" t="s">
        <v>76</v>
      </c>
      <c r="B37" s="16" t="s">
        <v>84</v>
      </c>
      <c r="C37" s="17" t="s">
        <v>10</v>
      </c>
      <c r="D37" s="17" t="s">
        <v>22</v>
      </c>
      <c r="E37" s="17" t="s">
        <v>19</v>
      </c>
      <c r="F37" s="16" t="s">
        <v>10</v>
      </c>
    </row>
    <row r="38" spans="1:6" x14ac:dyDescent="0.3">
      <c r="A38" s="22" t="s">
        <v>85</v>
      </c>
      <c r="B38" s="16" t="s">
        <v>86</v>
      </c>
      <c r="C38" s="17" t="s">
        <v>87</v>
      </c>
      <c r="D38" s="17" t="s">
        <v>88</v>
      </c>
      <c r="E38" s="17" t="s">
        <v>19</v>
      </c>
      <c r="F38" s="16" t="s">
        <v>10</v>
      </c>
    </row>
    <row r="39" spans="1:6" x14ac:dyDescent="0.3">
      <c r="A39" s="22" t="s">
        <v>85</v>
      </c>
      <c r="B39" s="16" t="s">
        <v>89</v>
      </c>
      <c r="C39" s="17" t="s">
        <v>90</v>
      </c>
      <c r="D39" s="17" t="s">
        <v>91</v>
      </c>
      <c r="E39" s="17" t="s">
        <v>19</v>
      </c>
      <c r="F39" s="16" t="s">
        <v>10</v>
      </c>
    </row>
    <row r="40" spans="1:6" x14ac:dyDescent="0.3">
      <c r="A40" s="22" t="s">
        <v>85</v>
      </c>
      <c r="B40" s="16" t="s">
        <v>92</v>
      </c>
      <c r="C40" s="17" t="s">
        <v>93</v>
      </c>
      <c r="D40" s="17" t="s">
        <v>64</v>
      </c>
      <c r="E40" s="17" t="s">
        <v>19</v>
      </c>
      <c r="F40" s="16" t="s">
        <v>10</v>
      </c>
    </row>
    <row r="41" spans="1:6" x14ac:dyDescent="0.3">
      <c r="A41" s="22" t="s">
        <v>85</v>
      </c>
      <c r="B41" s="16" t="s">
        <v>94</v>
      </c>
      <c r="C41" s="17" t="s">
        <v>95</v>
      </c>
      <c r="D41" s="17" t="s">
        <v>16</v>
      </c>
      <c r="E41" s="17" t="s">
        <v>19</v>
      </c>
      <c r="F41" s="16" t="s">
        <v>10</v>
      </c>
    </row>
    <row r="42" spans="1:6" x14ac:dyDescent="0.3">
      <c r="A42" s="22" t="s">
        <v>85</v>
      </c>
      <c r="B42" s="16" t="s">
        <v>96</v>
      </c>
      <c r="C42" s="17" t="s">
        <v>97</v>
      </c>
      <c r="D42" s="17" t="s">
        <v>98</v>
      </c>
      <c r="E42" s="17" t="s">
        <v>19</v>
      </c>
      <c r="F42" s="16" t="s">
        <v>10</v>
      </c>
    </row>
  </sheetData>
  <autoFilter ref="A4:F42" xr:uid="{00000000-0009-0000-0000-000000000000}"/>
  <mergeCells count="2">
    <mergeCell ref="A1:F1"/>
    <mergeCell ref="A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8"/>
  <sheetViews>
    <sheetView showGridLines="0" topLeftCell="A37" zoomScaleNormal="100" workbookViewId="0">
      <selection sqref="A1:H1"/>
    </sheetView>
  </sheetViews>
  <sheetFormatPr baseColWidth="10" defaultColWidth="8.6640625" defaultRowHeight="14.4" x14ac:dyDescent="0.3"/>
  <cols>
    <col min="1" max="1" width="8" customWidth="1"/>
    <col min="2" max="2" width="6" customWidth="1"/>
    <col min="3" max="3" width="46" customWidth="1"/>
    <col min="4" max="4" width="22" customWidth="1"/>
    <col min="5" max="5" width="14" customWidth="1"/>
    <col min="6" max="6" width="10" customWidth="1"/>
    <col min="7" max="7" width="22" customWidth="1"/>
    <col min="8" max="8" width="30" customWidth="1"/>
  </cols>
  <sheetData>
    <row r="1" spans="1:8" ht="24" customHeight="1" x14ac:dyDescent="0.3">
      <c r="A1" s="13" t="s">
        <v>99</v>
      </c>
      <c r="B1" s="13"/>
      <c r="C1" s="13"/>
      <c r="D1" s="13"/>
      <c r="E1" s="13"/>
      <c r="F1" s="13"/>
      <c r="G1" s="13"/>
      <c r="H1" s="13"/>
    </row>
    <row r="2" spans="1:8" x14ac:dyDescent="0.3">
      <c r="A2" s="12" t="s">
        <v>100</v>
      </c>
      <c r="B2" s="12"/>
      <c r="C2" s="12"/>
      <c r="D2" s="12"/>
      <c r="E2" s="12"/>
      <c r="F2" s="12"/>
      <c r="G2" s="12"/>
      <c r="H2" s="12"/>
    </row>
    <row r="4" spans="1:8" ht="19.5" customHeight="1" x14ac:dyDescent="0.3">
      <c r="A4" s="11" t="s">
        <v>101</v>
      </c>
      <c r="B4" s="11"/>
      <c r="C4" s="11"/>
      <c r="D4" s="11"/>
      <c r="E4" s="11"/>
      <c r="F4" s="11"/>
      <c r="G4" s="11"/>
      <c r="H4" s="11"/>
    </row>
    <row r="5" spans="1:8" ht="25.5" customHeight="1" x14ac:dyDescent="0.3">
      <c r="A5" s="23" t="s">
        <v>102</v>
      </c>
      <c r="B5" s="23" t="s">
        <v>103</v>
      </c>
      <c r="C5" s="23" t="s">
        <v>104</v>
      </c>
      <c r="D5" s="23" t="s">
        <v>105</v>
      </c>
      <c r="E5" s="23" t="s">
        <v>106</v>
      </c>
      <c r="F5" s="23" t="s">
        <v>107</v>
      </c>
      <c r="G5" s="23" t="s">
        <v>108</v>
      </c>
      <c r="H5" s="23" t="s">
        <v>109</v>
      </c>
    </row>
    <row r="6" spans="1:8" x14ac:dyDescent="0.3">
      <c r="A6" s="24" t="s">
        <v>110</v>
      </c>
      <c r="B6" s="24" t="s">
        <v>111</v>
      </c>
      <c r="C6" s="25" t="s">
        <v>112</v>
      </c>
      <c r="D6" s="25" t="s">
        <v>113</v>
      </c>
      <c r="E6" s="26" t="s">
        <v>114</v>
      </c>
      <c r="F6" s="26">
        <v>100</v>
      </c>
      <c r="G6" s="27"/>
      <c r="H6" s="27"/>
    </row>
    <row r="7" spans="1:8" x14ac:dyDescent="0.3">
      <c r="A7" s="24" t="s">
        <v>110</v>
      </c>
      <c r="B7" s="24" t="s">
        <v>115</v>
      </c>
      <c r="C7" s="25" t="s">
        <v>116</v>
      </c>
      <c r="D7" s="25" t="s">
        <v>117</v>
      </c>
      <c r="E7" s="26" t="s">
        <v>114</v>
      </c>
      <c r="F7" s="26">
        <v>100</v>
      </c>
      <c r="G7" s="27"/>
      <c r="H7" s="27"/>
    </row>
    <row r="8" spans="1:8" x14ac:dyDescent="0.3">
      <c r="A8" s="24" t="s">
        <v>110</v>
      </c>
      <c r="B8" s="24" t="s">
        <v>118</v>
      </c>
      <c r="C8" s="25" t="s">
        <v>119</v>
      </c>
      <c r="D8" s="25" t="s">
        <v>113</v>
      </c>
      <c r="E8" s="26" t="s">
        <v>114</v>
      </c>
      <c r="F8" s="26">
        <v>100</v>
      </c>
      <c r="G8" s="27"/>
      <c r="H8" s="27"/>
    </row>
    <row r="9" spans="1:8" ht="26.4" x14ac:dyDescent="0.3">
      <c r="A9" s="24" t="s">
        <v>110</v>
      </c>
      <c r="B9" s="24" t="s">
        <v>120</v>
      </c>
      <c r="C9" s="25" t="s">
        <v>121</v>
      </c>
      <c r="D9" s="25" t="s">
        <v>113</v>
      </c>
      <c r="E9" s="26" t="s">
        <v>114</v>
      </c>
      <c r="F9" s="26">
        <v>100</v>
      </c>
      <c r="G9" s="27"/>
      <c r="H9" s="27"/>
    </row>
    <row r="10" spans="1:8" x14ac:dyDescent="0.3">
      <c r="A10" s="24" t="s">
        <v>110</v>
      </c>
      <c r="B10" s="24" t="s">
        <v>122</v>
      </c>
      <c r="C10" s="25" t="s">
        <v>123</v>
      </c>
      <c r="D10" s="25" t="s">
        <v>113</v>
      </c>
      <c r="E10" s="26" t="s">
        <v>114</v>
      </c>
      <c r="F10" s="26">
        <v>100</v>
      </c>
      <c r="G10" s="27"/>
      <c r="H10" s="27"/>
    </row>
    <row r="11" spans="1:8" x14ac:dyDescent="0.3">
      <c r="A11" s="24" t="s">
        <v>110</v>
      </c>
      <c r="B11" s="24" t="s">
        <v>124</v>
      </c>
      <c r="C11" s="25" t="s">
        <v>125</v>
      </c>
      <c r="D11" s="25" t="s">
        <v>113</v>
      </c>
      <c r="E11" s="26" t="s">
        <v>126</v>
      </c>
      <c r="F11" s="26">
        <v>70</v>
      </c>
      <c r="G11" s="27"/>
      <c r="H11" s="27"/>
    </row>
    <row r="12" spans="1:8" x14ac:dyDescent="0.3">
      <c r="A12" s="24" t="s">
        <v>110</v>
      </c>
      <c r="B12" s="24" t="s">
        <v>127</v>
      </c>
      <c r="C12" s="25" t="s">
        <v>128</v>
      </c>
      <c r="D12" s="25" t="s">
        <v>113</v>
      </c>
      <c r="E12" s="26" t="s">
        <v>114</v>
      </c>
      <c r="F12" s="26">
        <v>100</v>
      </c>
      <c r="G12" s="27"/>
      <c r="H12" s="27"/>
    </row>
    <row r="13" spans="1:8" ht="26.4" x14ac:dyDescent="0.3">
      <c r="A13" s="24" t="s">
        <v>110</v>
      </c>
      <c r="B13" s="24" t="s">
        <v>129</v>
      </c>
      <c r="C13" s="25" t="s">
        <v>130</v>
      </c>
      <c r="D13" s="25" t="s">
        <v>113</v>
      </c>
      <c r="E13" s="26" t="s">
        <v>126</v>
      </c>
      <c r="F13" s="26">
        <v>60</v>
      </c>
      <c r="G13" s="27"/>
      <c r="H13" s="27"/>
    </row>
    <row r="14" spans="1:8" x14ac:dyDescent="0.3">
      <c r="A14" s="24" t="s">
        <v>131</v>
      </c>
      <c r="B14" s="24" t="s">
        <v>132</v>
      </c>
      <c r="C14" s="25" t="s">
        <v>133</v>
      </c>
      <c r="D14" s="25" t="s">
        <v>113</v>
      </c>
      <c r="E14" s="26" t="s">
        <v>114</v>
      </c>
      <c r="F14" s="26">
        <v>100</v>
      </c>
      <c r="G14" s="27"/>
      <c r="H14" s="27"/>
    </row>
    <row r="15" spans="1:8" x14ac:dyDescent="0.3">
      <c r="A15" s="24" t="s">
        <v>131</v>
      </c>
      <c r="B15" s="24" t="s">
        <v>134</v>
      </c>
      <c r="C15" s="25" t="s">
        <v>135</v>
      </c>
      <c r="D15" s="25" t="s">
        <v>113</v>
      </c>
      <c r="E15" s="26" t="s">
        <v>126</v>
      </c>
      <c r="F15" s="26">
        <v>80</v>
      </c>
      <c r="G15" s="27"/>
      <c r="H15" s="27"/>
    </row>
    <row r="16" spans="1:8" ht="26.4" x14ac:dyDescent="0.3">
      <c r="A16" s="24" t="s">
        <v>131</v>
      </c>
      <c r="B16" s="24" t="s">
        <v>136</v>
      </c>
      <c r="C16" s="25" t="s">
        <v>137</v>
      </c>
      <c r="D16" s="25" t="s">
        <v>113</v>
      </c>
      <c r="E16" s="26" t="s">
        <v>126</v>
      </c>
      <c r="F16" s="26">
        <v>70</v>
      </c>
      <c r="G16" s="27"/>
      <c r="H16" s="27"/>
    </row>
    <row r="17" spans="1:8" x14ac:dyDescent="0.3">
      <c r="A17" s="24" t="s">
        <v>131</v>
      </c>
      <c r="B17" s="24" t="s">
        <v>138</v>
      </c>
      <c r="C17" s="25" t="s">
        <v>139</v>
      </c>
      <c r="D17" s="25" t="s">
        <v>113</v>
      </c>
      <c r="E17" s="26" t="s">
        <v>114</v>
      </c>
      <c r="F17" s="26">
        <v>100</v>
      </c>
      <c r="G17" s="27"/>
      <c r="H17" s="27"/>
    </row>
    <row r="18" spans="1:8" ht="26.4" x14ac:dyDescent="0.3">
      <c r="A18" s="24" t="s">
        <v>131</v>
      </c>
      <c r="B18" s="24" t="s">
        <v>140</v>
      </c>
      <c r="C18" s="25" t="s">
        <v>141</v>
      </c>
      <c r="D18" s="25" t="s">
        <v>113</v>
      </c>
      <c r="E18" s="26" t="s">
        <v>126</v>
      </c>
      <c r="F18" s="26">
        <v>50</v>
      </c>
      <c r="G18" s="27"/>
      <c r="H18" s="27"/>
    </row>
    <row r="19" spans="1:8" x14ac:dyDescent="0.3">
      <c r="A19" s="24" t="s">
        <v>131</v>
      </c>
      <c r="B19" s="24" t="s">
        <v>142</v>
      </c>
      <c r="C19" s="25" t="s">
        <v>143</v>
      </c>
      <c r="D19" s="25" t="s">
        <v>113</v>
      </c>
      <c r="E19" s="26" t="s">
        <v>126</v>
      </c>
      <c r="F19" s="26">
        <v>60</v>
      </c>
      <c r="G19" s="27"/>
      <c r="H19" s="27"/>
    </row>
    <row r="20" spans="1:8" ht="26.4" x14ac:dyDescent="0.3">
      <c r="A20" s="24" t="s">
        <v>131</v>
      </c>
      <c r="B20" s="24" t="s">
        <v>144</v>
      </c>
      <c r="C20" s="25" t="s">
        <v>145</v>
      </c>
      <c r="D20" s="25" t="s">
        <v>113</v>
      </c>
      <c r="E20" s="26" t="s">
        <v>114</v>
      </c>
      <c r="F20" s="26">
        <v>100</v>
      </c>
      <c r="G20" s="27"/>
      <c r="H20" s="27"/>
    </row>
    <row r="21" spans="1:8" ht="26.4" x14ac:dyDescent="0.3">
      <c r="A21" s="24" t="s">
        <v>131</v>
      </c>
      <c r="B21" s="24" t="s">
        <v>146</v>
      </c>
      <c r="C21" s="25" t="s">
        <v>147</v>
      </c>
      <c r="D21" s="25" t="s">
        <v>113</v>
      </c>
      <c r="E21" s="26" t="s">
        <v>114</v>
      </c>
      <c r="F21" s="26">
        <v>100</v>
      </c>
      <c r="G21" s="27"/>
      <c r="H21" s="27"/>
    </row>
    <row r="22" spans="1:8" x14ac:dyDescent="0.3">
      <c r="A22" s="24" t="s">
        <v>131</v>
      </c>
      <c r="B22" s="24" t="s">
        <v>148</v>
      </c>
      <c r="C22" s="25" t="s">
        <v>149</v>
      </c>
      <c r="D22" s="25" t="s">
        <v>113</v>
      </c>
      <c r="E22" s="26" t="s">
        <v>126</v>
      </c>
      <c r="F22" s="26">
        <v>80</v>
      </c>
      <c r="G22" s="27"/>
      <c r="H22" s="27"/>
    </row>
    <row r="23" spans="1:8" ht="26.4" x14ac:dyDescent="0.3">
      <c r="A23" s="24" t="s">
        <v>131</v>
      </c>
      <c r="B23" s="24" t="s">
        <v>150</v>
      </c>
      <c r="C23" s="25" t="s">
        <v>151</v>
      </c>
      <c r="D23" s="25" t="s">
        <v>113</v>
      </c>
      <c r="E23" s="26" t="s">
        <v>152</v>
      </c>
      <c r="F23" s="26">
        <v>20</v>
      </c>
      <c r="G23" s="27"/>
      <c r="H23" s="27"/>
    </row>
    <row r="24" spans="1:8" ht="26.4" x14ac:dyDescent="0.3">
      <c r="A24" s="24" t="s">
        <v>131</v>
      </c>
      <c r="B24" s="24" t="s">
        <v>153</v>
      </c>
      <c r="C24" s="25" t="s">
        <v>151</v>
      </c>
      <c r="D24" s="25" t="s">
        <v>113</v>
      </c>
      <c r="E24" s="26" t="s">
        <v>152</v>
      </c>
      <c r="F24" s="26">
        <v>30</v>
      </c>
      <c r="G24" s="27"/>
      <c r="H24" s="27"/>
    </row>
    <row r="25" spans="1:8" x14ac:dyDescent="0.3">
      <c r="A25" s="24" t="s">
        <v>154</v>
      </c>
      <c r="B25" s="24" t="s">
        <v>155</v>
      </c>
      <c r="C25" s="25" t="s">
        <v>156</v>
      </c>
      <c r="D25" s="25" t="s">
        <v>113</v>
      </c>
      <c r="E25" s="26" t="s">
        <v>126</v>
      </c>
      <c r="F25" s="26">
        <v>70</v>
      </c>
      <c r="G25" s="27"/>
      <c r="H25" s="27"/>
    </row>
    <row r="26" spans="1:8" x14ac:dyDescent="0.3">
      <c r="A26" s="24" t="s">
        <v>154</v>
      </c>
      <c r="B26" s="24" t="s">
        <v>157</v>
      </c>
      <c r="C26" s="25" t="s">
        <v>158</v>
      </c>
      <c r="D26" s="25" t="s">
        <v>159</v>
      </c>
      <c r="E26" s="26" t="s">
        <v>126</v>
      </c>
      <c r="F26" s="26">
        <v>50</v>
      </c>
      <c r="G26" s="27"/>
      <c r="H26" s="27"/>
    </row>
    <row r="27" spans="1:8" x14ac:dyDescent="0.3">
      <c r="A27" s="24" t="s">
        <v>154</v>
      </c>
      <c r="B27" s="24" t="s">
        <v>160</v>
      </c>
      <c r="C27" s="25" t="s">
        <v>161</v>
      </c>
      <c r="D27" s="25" t="s">
        <v>113</v>
      </c>
      <c r="E27" s="26" t="s">
        <v>152</v>
      </c>
      <c r="F27" s="26">
        <v>0</v>
      </c>
      <c r="G27" s="27"/>
      <c r="H27" s="27"/>
    </row>
    <row r="28" spans="1:8" x14ac:dyDescent="0.3">
      <c r="A28" s="24" t="s">
        <v>162</v>
      </c>
      <c r="B28" s="24" t="s">
        <v>163</v>
      </c>
      <c r="C28" s="25" t="s">
        <v>164</v>
      </c>
      <c r="D28" s="25" t="s">
        <v>113</v>
      </c>
      <c r="E28" s="26" t="s">
        <v>126</v>
      </c>
      <c r="F28" s="26">
        <v>60</v>
      </c>
      <c r="G28" s="27"/>
      <c r="H28" s="27"/>
    </row>
    <row r="29" spans="1:8" x14ac:dyDescent="0.3">
      <c r="A29" s="24" t="s">
        <v>162</v>
      </c>
      <c r="B29" s="24" t="s">
        <v>165</v>
      </c>
      <c r="C29" s="25" t="s">
        <v>166</v>
      </c>
      <c r="D29" s="25" t="s">
        <v>113</v>
      </c>
      <c r="E29" s="26" t="s">
        <v>114</v>
      </c>
      <c r="F29" s="26">
        <v>100</v>
      </c>
      <c r="G29" s="27"/>
      <c r="H29" s="27"/>
    </row>
    <row r="30" spans="1:8" x14ac:dyDescent="0.3">
      <c r="C30" s="28" t="s">
        <v>167</v>
      </c>
      <c r="F30" s="29">
        <f>AVERAGE(F6:F29)</f>
        <v>75</v>
      </c>
    </row>
    <row r="32" spans="1:8" ht="19.5" customHeight="1" x14ac:dyDescent="0.3">
      <c r="A32" s="11" t="s">
        <v>168</v>
      </c>
      <c r="B32" s="11"/>
      <c r="C32" s="11"/>
      <c r="D32" s="11"/>
      <c r="E32" s="11"/>
      <c r="F32" s="11"/>
      <c r="G32" s="11"/>
      <c r="H32" s="11"/>
    </row>
    <row r="33" spans="1:8" x14ac:dyDescent="0.3">
      <c r="A33" s="10" t="s">
        <v>169</v>
      </c>
      <c r="B33" s="10"/>
      <c r="C33" s="10"/>
      <c r="D33" s="30" t="s">
        <v>170</v>
      </c>
      <c r="E33" s="10" t="s">
        <v>109</v>
      </c>
      <c r="F33" s="10"/>
      <c r="G33" s="10"/>
      <c r="H33" s="10"/>
    </row>
    <row r="34" spans="1:8" ht="15" customHeight="1" x14ac:dyDescent="0.3">
      <c r="A34" s="9" t="s">
        <v>171</v>
      </c>
      <c r="B34" s="9"/>
      <c r="C34" s="9"/>
      <c r="D34" s="26">
        <v>45</v>
      </c>
      <c r="E34" s="8"/>
      <c r="F34" s="8"/>
      <c r="G34" s="8"/>
      <c r="H34" s="8"/>
    </row>
    <row r="35" spans="1:8" ht="15" customHeight="1" x14ac:dyDescent="0.3">
      <c r="A35" s="9" t="s">
        <v>172</v>
      </c>
      <c r="B35" s="9"/>
      <c r="C35" s="9"/>
      <c r="D35" s="26">
        <v>8</v>
      </c>
      <c r="E35" s="8"/>
      <c r="F35" s="8"/>
      <c r="G35" s="8"/>
      <c r="H35" s="8"/>
    </row>
    <row r="36" spans="1:8" ht="15" customHeight="1" x14ac:dyDescent="0.3">
      <c r="A36" s="9" t="s">
        <v>173</v>
      </c>
      <c r="B36" s="9"/>
      <c r="C36" s="9"/>
      <c r="D36" s="26">
        <v>6</v>
      </c>
      <c r="E36" s="8"/>
      <c r="F36" s="8"/>
      <c r="G36" s="8"/>
      <c r="H36" s="8"/>
    </row>
    <row r="37" spans="1:8" ht="15" customHeight="1" x14ac:dyDescent="0.3">
      <c r="A37" s="9" t="s">
        <v>174</v>
      </c>
      <c r="B37" s="9"/>
      <c r="C37" s="9"/>
      <c r="D37" s="26">
        <v>20</v>
      </c>
      <c r="E37" s="8"/>
      <c r="F37" s="8"/>
      <c r="G37" s="8"/>
      <c r="H37" s="8"/>
    </row>
    <row r="38" spans="1:8" ht="15" customHeight="1" x14ac:dyDescent="0.3">
      <c r="A38" s="9" t="s">
        <v>175</v>
      </c>
      <c r="B38" s="9"/>
      <c r="C38" s="9"/>
      <c r="D38" s="26">
        <v>30</v>
      </c>
      <c r="E38" s="8"/>
      <c r="F38" s="8"/>
      <c r="G38" s="8"/>
      <c r="H38" s="8"/>
    </row>
    <row r="39" spans="1:8" ht="15" customHeight="1" x14ac:dyDescent="0.3">
      <c r="A39" s="9" t="s">
        <v>176</v>
      </c>
      <c r="B39" s="9"/>
      <c r="C39" s="9"/>
      <c r="D39" s="26">
        <v>15</v>
      </c>
      <c r="E39" s="8"/>
      <c r="F39" s="8"/>
      <c r="G39" s="8"/>
      <c r="H39" s="8"/>
    </row>
    <row r="40" spans="1:8" ht="15" customHeight="1" x14ac:dyDescent="0.3">
      <c r="A40" s="9" t="s">
        <v>177</v>
      </c>
      <c r="B40" s="9"/>
      <c r="C40" s="9"/>
      <c r="D40" s="26">
        <v>5</v>
      </c>
      <c r="E40" s="8"/>
      <c r="F40" s="8"/>
      <c r="G40" s="8"/>
      <c r="H40" s="8"/>
    </row>
    <row r="41" spans="1:8" ht="15" customHeight="1" x14ac:dyDescent="0.3">
      <c r="A41" s="9" t="s">
        <v>178</v>
      </c>
      <c r="B41" s="9"/>
      <c r="C41" s="9"/>
      <c r="D41" s="26">
        <v>60</v>
      </c>
      <c r="E41" s="8"/>
      <c r="F41" s="8"/>
      <c r="G41" s="8"/>
      <c r="H41" s="8"/>
    </row>
    <row r="42" spans="1:8" ht="15" customHeight="1" x14ac:dyDescent="0.3">
      <c r="A42" s="7" t="s">
        <v>179</v>
      </c>
      <c r="B42" s="7"/>
      <c r="C42" s="7"/>
      <c r="D42" s="31">
        <f>SUM(D34:D41)</f>
        <v>189</v>
      </c>
    </row>
    <row r="44" spans="1:8" ht="19.5" customHeight="1" x14ac:dyDescent="0.3">
      <c r="A44" s="11" t="s">
        <v>180</v>
      </c>
      <c r="B44" s="11"/>
      <c r="C44" s="11"/>
      <c r="D44" s="11"/>
      <c r="E44" s="11"/>
      <c r="F44" s="11"/>
      <c r="G44" s="11"/>
      <c r="H44" s="11"/>
    </row>
    <row r="45" spans="1:8" x14ac:dyDescent="0.3">
      <c r="A45" s="10" t="s">
        <v>169</v>
      </c>
      <c r="B45" s="10"/>
      <c r="C45" s="10"/>
      <c r="D45" s="30" t="s">
        <v>170</v>
      </c>
      <c r="E45" s="10" t="s">
        <v>109</v>
      </c>
      <c r="F45" s="10"/>
      <c r="G45" s="10"/>
      <c r="H45" s="10"/>
    </row>
    <row r="46" spans="1:8" ht="15" customHeight="1" x14ac:dyDescent="0.3">
      <c r="A46" s="9" t="s">
        <v>181</v>
      </c>
      <c r="B46" s="9"/>
      <c r="C46" s="9"/>
      <c r="D46" s="26">
        <v>25</v>
      </c>
      <c r="E46" s="8"/>
      <c r="F46" s="8"/>
      <c r="G46" s="8"/>
      <c r="H46" s="8"/>
    </row>
    <row r="47" spans="1:8" ht="15" customHeight="1" x14ac:dyDescent="0.3">
      <c r="A47" s="9" t="s">
        <v>182</v>
      </c>
      <c r="B47" s="9"/>
      <c r="C47" s="9"/>
      <c r="D47" s="26">
        <v>12</v>
      </c>
      <c r="E47" s="8"/>
      <c r="F47" s="8"/>
      <c r="G47" s="8"/>
      <c r="H47" s="8"/>
    </row>
    <row r="48" spans="1:8" ht="15" customHeight="1" x14ac:dyDescent="0.3">
      <c r="A48" s="9" t="s">
        <v>183</v>
      </c>
      <c r="B48" s="9"/>
      <c r="C48" s="9"/>
      <c r="D48" s="26">
        <v>18</v>
      </c>
      <c r="E48" s="8"/>
      <c r="F48" s="8"/>
      <c r="G48" s="8"/>
      <c r="H48" s="8"/>
    </row>
    <row r="49" spans="1:8" ht="15" customHeight="1" x14ac:dyDescent="0.3">
      <c r="A49" s="9" t="s">
        <v>184</v>
      </c>
      <c r="B49" s="9"/>
      <c r="C49" s="9"/>
      <c r="D49" s="26">
        <v>10</v>
      </c>
      <c r="E49" s="8"/>
      <c r="F49" s="8"/>
      <c r="G49" s="8"/>
      <c r="H49" s="8"/>
    </row>
    <row r="50" spans="1:8" ht="15" customHeight="1" x14ac:dyDescent="0.3">
      <c r="A50" s="9" t="s">
        <v>185</v>
      </c>
      <c r="B50" s="9"/>
      <c r="C50" s="9"/>
      <c r="D50" s="26">
        <v>4</v>
      </c>
      <c r="E50" s="8"/>
      <c r="F50" s="8"/>
      <c r="G50" s="8"/>
      <c r="H50" s="8"/>
    </row>
    <row r="51" spans="1:8" ht="15" customHeight="1" x14ac:dyDescent="0.3">
      <c r="A51" s="7" t="s">
        <v>186</v>
      </c>
      <c r="B51" s="7"/>
      <c r="C51" s="7"/>
      <c r="D51" s="31">
        <f>SUM(D46:D50)</f>
        <v>69</v>
      </c>
    </row>
    <row r="53" spans="1:8" ht="19.5" customHeight="1" x14ac:dyDescent="0.3">
      <c r="A53" s="11" t="s">
        <v>187</v>
      </c>
      <c r="B53" s="11"/>
      <c r="C53" s="11"/>
      <c r="D53" s="11"/>
      <c r="E53" s="11"/>
      <c r="F53" s="11"/>
      <c r="G53" s="11"/>
      <c r="H53" s="11"/>
    </row>
    <row r="54" spans="1:8" x14ac:dyDescent="0.3">
      <c r="A54" s="10" t="s">
        <v>188</v>
      </c>
      <c r="B54" s="10"/>
      <c r="C54" s="10"/>
      <c r="D54" s="30" t="s">
        <v>170</v>
      </c>
      <c r="E54" s="10" t="s">
        <v>109</v>
      </c>
      <c r="F54" s="10"/>
      <c r="G54" s="10"/>
      <c r="H54" s="10"/>
    </row>
    <row r="55" spans="1:8" ht="15" customHeight="1" x14ac:dyDescent="0.3">
      <c r="A55" s="9" t="s">
        <v>189</v>
      </c>
      <c r="B55" s="9"/>
      <c r="C55" s="9"/>
      <c r="D55" s="26">
        <v>3</v>
      </c>
      <c r="E55" s="8"/>
      <c r="F55" s="8"/>
      <c r="G55" s="8"/>
      <c r="H55" s="8"/>
    </row>
    <row r="56" spans="1:8" ht="15" customHeight="1" x14ac:dyDescent="0.3">
      <c r="A56" s="9" t="s">
        <v>190</v>
      </c>
      <c r="B56" s="9"/>
      <c r="C56" s="9"/>
      <c r="D56" s="26">
        <v>5</v>
      </c>
      <c r="E56" s="8"/>
      <c r="F56" s="8"/>
      <c r="G56" s="8"/>
      <c r="H56" s="8"/>
    </row>
    <row r="57" spans="1:8" ht="15" customHeight="1" x14ac:dyDescent="0.3">
      <c r="A57" s="9" t="s">
        <v>191</v>
      </c>
      <c r="B57" s="9"/>
      <c r="C57" s="9"/>
      <c r="D57" s="26">
        <v>22</v>
      </c>
      <c r="E57" s="8"/>
      <c r="F57" s="8"/>
      <c r="G57" s="8"/>
      <c r="H57" s="8"/>
    </row>
    <row r="58" spans="1:8" ht="15" customHeight="1" x14ac:dyDescent="0.3">
      <c r="A58" s="9" t="s">
        <v>192</v>
      </c>
      <c r="B58" s="9"/>
      <c r="C58" s="9"/>
      <c r="D58" s="26">
        <v>48000</v>
      </c>
      <c r="E58" s="8"/>
      <c r="F58" s="8"/>
      <c r="G58" s="8"/>
      <c r="H58" s="8"/>
    </row>
  </sheetData>
  <autoFilter ref="A5:H29" xr:uid="{00000000-0009-0000-0000-000001000000}"/>
  <mergeCells count="48">
    <mergeCell ref="A58:C58"/>
    <mergeCell ref="E58:H58"/>
    <mergeCell ref="A55:C55"/>
    <mergeCell ref="E55:H55"/>
    <mergeCell ref="A56:C56"/>
    <mergeCell ref="E56:H56"/>
    <mergeCell ref="A57:C57"/>
    <mergeCell ref="E57:H57"/>
    <mergeCell ref="A50:C50"/>
    <mergeCell ref="E50:H50"/>
    <mergeCell ref="A51:C51"/>
    <mergeCell ref="A53:H53"/>
    <mergeCell ref="A54:C54"/>
    <mergeCell ref="E54:H54"/>
    <mergeCell ref="A47:C47"/>
    <mergeCell ref="E47:H47"/>
    <mergeCell ref="A48:C48"/>
    <mergeCell ref="E48:H48"/>
    <mergeCell ref="A49:C49"/>
    <mergeCell ref="E49:H49"/>
    <mergeCell ref="A44:H44"/>
    <mergeCell ref="A45:C45"/>
    <mergeCell ref="E45:H45"/>
    <mergeCell ref="A46:C46"/>
    <mergeCell ref="E46:H46"/>
    <mergeCell ref="A40:C40"/>
    <mergeCell ref="E40:H40"/>
    <mergeCell ref="A41:C41"/>
    <mergeCell ref="E41:H41"/>
    <mergeCell ref="A42:C42"/>
    <mergeCell ref="A37:C37"/>
    <mergeCell ref="E37:H37"/>
    <mergeCell ref="A38:C38"/>
    <mergeCell ref="E38:H38"/>
    <mergeCell ref="A39:C39"/>
    <mergeCell ref="E39:H39"/>
    <mergeCell ref="A34:C34"/>
    <mergeCell ref="E34:H34"/>
    <mergeCell ref="A35:C35"/>
    <mergeCell ref="E35:H35"/>
    <mergeCell ref="A36:C36"/>
    <mergeCell ref="E36:H36"/>
    <mergeCell ref="A1:H1"/>
    <mergeCell ref="A2:H2"/>
    <mergeCell ref="A4:H4"/>
    <mergeCell ref="A32:H32"/>
    <mergeCell ref="A33:C33"/>
    <mergeCell ref="E33:H33"/>
  </mergeCells>
  <conditionalFormatting sqref="E6:E29">
    <cfRule type="cellIs" dxfId="10" priority="2" operator="equal">
      <formula>"Cumple"</formula>
    </cfRule>
    <cfRule type="cellIs" dxfId="9" priority="3" operator="equal">
      <formula>"Parcial"</formula>
    </cfRule>
    <cfRule type="cellIs" dxfId="8" priority="4" operator="equal">
      <formula>"No cumple"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10"/>
  <sheetViews>
    <sheetView showGridLines="0" zoomScaleNormal="100" workbookViewId="0">
      <pane ySplit="5" topLeftCell="A6" activePane="bottomLeft" state="frozen"/>
      <selection pane="bottomLeft" sqref="A1:AG1"/>
    </sheetView>
  </sheetViews>
  <sheetFormatPr baseColWidth="10" defaultColWidth="8.6640625" defaultRowHeight="14.4" x14ac:dyDescent="0.3"/>
  <cols>
    <col min="1" max="2" width="11" customWidth="1"/>
    <col min="3" max="3" width="14" customWidth="1"/>
    <col min="4" max="4" width="9" customWidth="1"/>
    <col min="5" max="5" width="11" customWidth="1"/>
    <col min="6" max="6" width="9" customWidth="1"/>
    <col min="7" max="8" width="14" customWidth="1"/>
    <col min="9" max="9" width="20" customWidth="1"/>
    <col min="10" max="10" width="12" customWidth="1"/>
    <col min="11" max="11" width="8" customWidth="1"/>
    <col min="12" max="12" width="12" customWidth="1"/>
    <col min="13" max="13" width="8" customWidth="1"/>
    <col min="14" max="14" width="12" customWidth="1"/>
    <col min="15" max="15" width="13" customWidth="1"/>
    <col min="16" max="16" width="11" customWidth="1"/>
    <col min="17" max="17" width="13" customWidth="1"/>
    <col min="18" max="18" width="9" customWidth="1"/>
    <col min="19" max="19" width="11" customWidth="1"/>
    <col min="20" max="20" width="12" customWidth="1"/>
    <col min="21" max="22" width="13" customWidth="1"/>
    <col min="23" max="23" width="12" customWidth="1"/>
    <col min="24" max="24" width="11" customWidth="1"/>
    <col min="25" max="25" width="13" customWidth="1"/>
    <col min="26" max="27" width="12" customWidth="1"/>
    <col min="28" max="28" width="13" customWidth="1"/>
    <col min="29" max="29" width="11" customWidth="1"/>
    <col min="30" max="30" width="13" customWidth="1"/>
    <col min="31" max="31" width="15" customWidth="1"/>
    <col min="32" max="32" width="12" customWidth="1"/>
    <col min="33" max="33" width="13" customWidth="1"/>
  </cols>
  <sheetData>
    <row r="1" spans="1:33" ht="24" customHeight="1" x14ac:dyDescent="0.3">
      <c r="A1" s="13" t="s">
        <v>193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</row>
    <row r="2" spans="1:33" x14ac:dyDescent="0.3">
      <c r="A2" s="12" t="s">
        <v>194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4" spans="1:33" ht="18" customHeight="1" x14ac:dyDescent="0.3">
      <c r="A4" s="6" t="s">
        <v>195</v>
      </c>
      <c r="B4" s="6"/>
      <c r="C4" s="6"/>
      <c r="D4" s="6"/>
      <c r="E4" s="6" t="s">
        <v>196</v>
      </c>
      <c r="F4" s="6"/>
      <c r="G4" s="6"/>
      <c r="H4" s="6"/>
      <c r="I4" s="6"/>
      <c r="J4" s="6" t="s">
        <v>197</v>
      </c>
      <c r="K4" s="6"/>
      <c r="L4" s="6"/>
      <c r="M4" s="6"/>
      <c r="N4" s="6"/>
      <c r="O4" s="6"/>
      <c r="P4" s="32" t="s">
        <v>31</v>
      </c>
      <c r="Q4" s="6" t="s">
        <v>198</v>
      </c>
      <c r="R4" s="6"/>
      <c r="S4" s="6"/>
      <c r="T4" s="6"/>
      <c r="U4" s="6"/>
      <c r="V4" s="6"/>
      <c r="W4" s="6"/>
      <c r="X4" s="6"/>
      <c r="Y4" s="6"/>
      <c r="Z4" s="6" t="s">
        <v>199</v>
      </c>
      <c r="AA4" s="6"/>
      <c r="AB4" s="6"/>
      <c r="AC4" s="6"/>
      <c r="AD4" s="6" t="s">
        <v>200</v>
      </c>
      <c r="AE4" s="6"/>
      <c r="AF4" s="6"/>
      <c r="AG4" s="32" t="s">
        <v>201</v>
      </c>
    </row>
    <row r="5" spans="1:33" ht="30" customHeight="1" x14ac:dyDescent="0.3">
      <c r="A5" s="33" t="s">
        <v>202</v>
      </c>
      <c r="B5" s="33" t="s">
        <v>169</v>
      </c>
      <c r="C5" s="33" t="s">
        <v>203</v>
      </c>
      <c r="D5" s="33" t="s">
        <v>204</v>
      </c>
      <c r="E5" s="33" t="s">
        <v>205</v>
      </c>
      <c r="F5" s="33" t="s">
        <v>206</v>
      </c>
      <c r="G5" s="33" t="s">
        <v>207</v>
      </c>
      <c r="H5" s="33" t="s">
        <v>208</v>
      </c>
      <c r="I5" s="33" t="s">
        <v>209</v>
      </c>
      <c r="J5" s="33" t="s">
        <v>210</v>
      </c>
      <c r="K5" s="33" t="s">
        <v>211</v>
      </c>
      <c r="L5" s="33" t="s">
        <v>212</v>
      </c>
      <c r="M5" s="33" t="s">
        <v>213</v>
      </c>
      <c r="N5" s="33" t="s">
        <v>214</v>
      </c>
      <c r="O5" s="33" t="s">
        <v>215</v>
      </c>
      <c r="P5" s="33" t="s">
        <v>216</v>
      </c>
      <c r="Q5" s="33" t="s">
        <v>217</v>
      </c>
      <c r="R5" s="33" t="s">
        <v>218</v>
      </c>
      <c r="S5" s="33" t="s">
        <v>219</v>
      </c>
      <c r="T5" s="33" t="s">
        <v>220</v>
      </c>
      <c r="U5" s="33" t="s">
        <v>35</v>
      </c>
      <c r="V5" s="33" t="s">
        <v>38</v>
      </c>
      <c r="W5" s="33" t="s">
        <v>221</v>
      </c>
      <c r="X5" s="33" t="s">
        <v>222</v>
      </c>
      <c r="Y5" s="33" t="s">
        <v>223</v>
      </c>
      <c r="Z5" s="33" t="s">
        <v>224</v>
      </c>
      <c r="AA5" s="33" t="s">
        <v>225</v>
      </c>
      <c r="AB5" s="33" t="s">
        <v>226</v>
      </c>
      <c r="AC5" s="33" t="s">
        <v>227</v>
      </c>
      <c r="AD5" s="33" t="s">
        <v>228</v>
      </c>
      <c r="AE5" s="33" t="s">
        <v>229</v>
      </c>
      <c r="AF5" s="33" t="s">
        <v>230</v>
      </c>
      <c r="AG5" s="33" t="s">
        <v>231</v>
      </c>
    </row>
    <row r="6" spans="1:33" ht="26.4" x14ac:dyDescent="0.3">
      <c r="A6" s="34" t="s">
        <v>232</v>
      </c>
      <c r="B6" s="27" t="s">
        <v>233</v>
      </c>
      <c r="C6" s="27" t="s">
        <v>234</v>
      </c>
      <c r="D6" s="26">
        <v>2021</v>
      </c>
      <c r="E6" s="27" t="s">
        <v>235</v>
      </c>
      <c r="F6" s="27" t="s">
        <v>236</v>
      </c>
      <c r="G6" s="27" t="s">
        <v>237</v>
      </c>
      <c r="H6" s="27" t="s">
        <v>238</v>
      </c>
      <c r="I6" s="27" t="s">
        <v>239</v>
      </c>
      <c r="J6" s="35">
        <v>46254</v>
      </c>
      <c r="K6" s="36">
        <f ca="1">J6-TODAY()</f>
        <v>19</v>
      </c>
      <c r="L6" s="35">
        <v>46397</v>
      </c>
      <c r="M6" s="36">
        <f ca="1">L6-TODAY()</f>
        <v>162</v>
      </c>
      <c r="N6" s="35">
        <v>46327</v>
      </c>
      <c r="O6" s="35">
        <v>46447</v>
      </c>
      <c r="P6" s="26">
        <v>1</v>
      </c>
      <c r="Q6" s="35">
        <v>46152</v>
      </c>
      <c r="R6" s="26">
        <v>82000</v>
      </c>
      <c r="S6" s="26">
        <v>85000</v>
      </c>
      <c r="T6" s="35">
        <v>46152</v>
      </c>
      <c r="U6" s="27" t="s">
        <v>240</v>
      </c>
      <c r="V6" s="35">
        <v>46132</v>
      </c>
      <c r="W6" s="26">
        <v>5</v>
      </c>
      <c r="X6" s="27" t="s">
        <v>240</v>
      </c>
      <c r="Y6" s="35">
        <v>46231</v>
      </c>
      <c r="Z6" s="26">
        <v>120</v>
      </c>
      <c r="AA6" s="26">
        <v>28</v>
      </c>
      <c r="AB6" s="26">
        <v>30</v>
      </c>
      <c r="AC6" s="36">
        <f>IF(AB6=0,0,ROUND((AB6-AA6)/AB6*100,0))</f>
        <v>7</v>
      </c>
      <c r="AD6" s="27" t="s">
        <v>241</v>
      </c>
      <c r="AE6" s="27" t="s">
        <v>241</v>
      </c>
      <c r="AF6" s="27" t="s">
        <v>241</v>
      </c>
      <c r="AG6" s="37" t="str">
        <f ca="1">IF(OR(K6&lt;=0,M6&lt;=0),"Vencido",IF(OR(K6&lt;=30,M6&lt;=30,P6&gt;0,R6&gt;=S6,AC6&gt;=15,W6&lt;2,U6="Falla"),"Alerta","OK"))</f>
        <v>Alerta</v>
      </c>
    </row>
    <row r="7" spans="1:33" x14ac:dyDescent="0.3">
      <c r="A7" s="34" t="s">
        <v>242</v>
      </c>
      <c r="B7" s="27" t="s">
        <v>243</v>
      </c>
      <c r="C7" s="27" t="s">
        <v>244</v>
      </c>
      <c r="D7" s="26">
        <v>2019</v>
      </c>
      <c r="E7" s="27" t="s">
        <v>245</v>
      </c>
      <c r="F7" s="27" t="s">
        <v>246</v>
      </c>
      <c r="G7" s="27" t="s">
        <v>247</v>
      </c>
      <c r="H7" s="27" t="s">
        <v>248</v>
      </c>
      <c r="I7" s="27" t="s">
        <v>249</v>
      </c>
      <c r="J7" s="35">
        <v>46213</v>
      </c>
      <c r="K7" s="36">
        <f ca="1">J7-TODAY()</f>
        <v>-22</v>
      </c>
      <c r="L7" s="35">
        <v>46266</v>
      </c>
      <c r="M7" s="36">
        <f ca="1">L7-TODAY()</f>
        <v>31</v>
      </c>
      <c r="N7" s="35">
        <v>46310</v>
      </c>
      <c r="O7" s="35">
        <v>46357</v>
      </c>
      <c r="P7" s="26">
        <v>0</v>
      </c>
      <c r="Q7" s="35">
        <v>46174</v>
      </c>
      <c r="R7" s="26">
        <v>140000</v>
      </c>
      <c r="S7" s="26">
        <v>142000</v>
      </c>
      <c r="T7" s="35">
        <v>46174</v>
      </c>
      <c r="U7" s="27" t="s">
        <v>250</v>
      </c>
      <c r="V7" s="35">
        <v>46096</v>
      </c>
      <c r="W7" s="26">
        <v>3</v>
      </c>
      <c r="X7" s="27" t="s">
        <v>240</v>
      </c>
      <c r="Y7" s="35">
        <v>46223</v>
      </c>
      <c r="Z7" s="26">
        <v>210</v>
      </c>
      <c r="AA7" s="26">
        <v>12</v>
      </c>
      <c r="AB7" s="26">
        <v>14</v>
      </c>
      <c r="AC7" s="36">
        <f>IF(AB7=0,0,ROUND((AB7-AA7)/AB7*100,0))</f>
        <v>14</v>
      </c>
      <c r="AD7" s="27" t="s">
        <v>251</v>
      </c>
      <c r="AE7" s="27" t="s">
        <v>241</v>
      </c>
      <c r="AF7" s="27" t="s">
        <v>241</v>
      </c>
      <c r="AG7" s="37" t="str">
        <f ca="1">IF(OR(K7&lt;=0,M7&lt;=0),"Vencido",IF(OR(K7&lt;=30,M7&lt;=30,P7&gt;0,R7&gt;=S7,AC7&gt;=15,W7&lt;2,U7="Falla"),"Alerta","OK"))</f>
        <v>Vencido</v>
      </c>
    </row>
    <row r="8" spans="1:33" ht="26.4" x14ac:dyDescent="0.3">
      <c r="A8" s="34" t="s">
        <v>252</v>
      </c>
      <c r="B8" s="27" t="s">
        <v>253</v>
      </c>
      <c r="C8" s="27" t="s">
        <v>254</v>
      </c>
      <c r="D8" s="26">
        <v>2022</v>
      </c>
      <c r="E8" s="27" t="s">
        <v>235</v>
      </c>
      <c r="F8" s="27" t="s">
        <v>255</v>
      </c>
      <c r="G8" s="27" t="s">
        <v>237</v>
      </c>
      <c r="H8" s="27" t="s">
        <v>256</v>
      </c>
      <c r="I8" s="27" t="s">
        <v>257</v>
      </c>
      <c r="J8" s="35">
        <v>46357</v>
      </c>
      <c r="K8" s="36">
        <f ca="1">J8-TODAY()</f>
        <v>122</v>
      </c>
      <c r="L8" s="35">
        <v>46341</v>
      </c>
      <c r="M8" s="36">
        <f ca="1">L8-TODAY()</f>
        <v>106</v>
      </c>
      <c r="N8" s="35">
        <v>46419</v>
      </c>
      <c r="O8" s="35">
        <v>46508</v>
      </c>
      <c r="P8" s="26">
        <v>0</v>
      </c>
      <c r="Q8" s="35">
        <v>46193</v>
      </c>
      <c r="R8" s="26">
        <v>45000</v>
      </c>
      <c r="S8" s="26">
        <v>50000</v>
      </c>
      <c r="T8" s="35">
        <v>46193</v>
      </c>
      <c r="U8" s="27" t="s">
        <v>240</v>
      </c>
      <c r="V8" s="35">
        <v>46174</v>
      </c>
      <c r="W8" s="26">
        <v>6</v>
      </c>
      <c r="X8" s="27" t="s">
        <v>240</v>
      </c>
      <c r="Y8" s="35">
        <v>46233</v>
      </c>
      <c r="Z8" s="26">
        <v>90</v>
      </c>
      <c r="AA8" s="26">
        <v>32</v>
      </c>
      <c r="AB8" s="26">
        <v>33</v>
      </c>
      <c r="AC8" s="36">
        <f>IF(AB8=0,0,ROUND((AB8-AA8)/AB8*100,0))</f>
        <v>3</v>
      </c>
      <c r="AD8" s="27" t="s">
        <v>241</v>
      </c>
      <c r="AE8" s="27" t="s">
        <v>241</v>
      </c>
      <c r="AF8" s="27" t="s">
        <v>241</v>
      </c>
      <c r="AG8" s="37" t="str">
        <f ca="1">IF(OR(K8&lt;=0,M8&lt;=0),"Vencido",IF(OR(K8&lt;=30,M8&lt;=30,P8&gt;0,R8&gt;=S8,AC8&gt;=15,W8&lt;2,U8="Falla"),"Alerta","OK"))</f>
        <v>OK</v>
      </c>
    </row>
    <row r="9" spans="1:33" ht="26.4" x14ac:dyDescent="0.3">
      <c r="A9" s="34" t="s">
        <v>258</v>
      </c>
      <c r="B9" s="27" t="s">
        <v>259</v>
      </c>
      <c r="C9" s="27" t="s">
        <v>260</v>
      </c>
      <c r="D9" s="26">
        <v>2018</v>
      </c>
      <c r="E9" s="27" t="s">
        <v>261</v>
      </c>
      <c r="F9" s="27" t="s">
        <v>262</v>
      </c>
      <c r="G9" s="27" t="s">
        <v>263</v>
      </c>
      <c r="H9" s="27" t="s">
        <v>264</v>
      </c>
      <c r="I9" s="27" t="s">
        <v>265</v>
      </c>
      <c r="J9" s="35">
        <v>46259</v>
      </c>
      <c r="K9" s="36">
        <f ca="1">J9-TODAY()</f>
        <v>24</v>
      </c>
      <c r="L9" s="35">
        <v>46239</v>
      </c>
      <c r="M9" s="36">
        <f ca="1">L9-TODAY()</f>
        <v>4</v>
      </c>
      <c r="N9" s="35">
        <v>46285</v>
      </c>
      <c r="O9" s="35">
        <v>46296</v>
      </c>
      <c r="P9" s="26">
        <v>2</v>
      </c>
      <c r="Q9" s="35">
        <v>46127</v>
      </c>
      <c r="R9" s="26">
        <v>260000</v>
      </c>
      <c r="S9" s="26">
        <v>262000</v>
      </c>
      <c r="T9" s="35">
        <v>46127</v>
      </c>
      <c r="U9" s="27" t="s">
        <v>240</v>
      </c>
      <c r="V9" s="35">
        <v>46063</v>
      </c>
      <c r="W9" s="26">
        <v>1</v>
      </c>
      <c r="X9" s="27" t="s">
        <v>266</v>
      </c>
      <c r="Y9" s="35">
        <v>46218</v>
      </c>
      <c r="Z9" s="26">
        <v>380</v>
      </c>
      <c r="AA9" s="26">
        <v>8</v>
      </c>
      <c r="AB9" s="26">
        <v>10</v>
      </c>
      <c r="AC9" s="36">
        <f>IF(AB9=0,0,ROUND((AB9-AA9)/AB9*100,0))</f>
        <v>20</v>
      </c>
      <c r="AD9" s="27" t="s">
        <v>241</v>
      </c>
      <c r="AE9" s="27" t="s">
        <v>241</v>
      </c>
      <c r="AF9" s="27" t="s">
        <v>241</v>
      </c>
      <c r="AG9" s="37" t="str">
        <f ca="1">IF(OR(K9&lt;=0,M9&lt;=0),"Vencido",IF(OR(K9&lt;=30,M9&lt;=30,P9&gt;0,R9&gt;=S9,AC9&gt;=15,W9&lt;2,U9="Falla"),"Alerta","OK"))</f>
        <v>Alerta</v>
      </c>
    </row>
    <row r="10" spans="1:33" ht="26.4" x14ac:dyDescent="0.3">
      <c r="A10" s="34" t="s">
        <v>267</v>
      </c>
      <c r="B10" s="27" t="s">
        <v>268</v>
      </c>
      <c r="C10" s="27" t="s">
        <v>269</v>
      </c>
      <c r="D10" s="26">
        <v>2020</v>
      </c>
      <c r="E10" s="27" t="s">
        <v>235</v>
      </c>
      <c r="F10" s="27" t="s">
        <v>270</v>
      </c>
      <c r="G10" s="27" t="s">
        <v>237</v>
      </c>
      <c r="H10" s="27" t="s">
        <v>271</v>
      </c>
      <c r="I10" s="27" t="s">
        <v>272</v>
      </c>
      <c r="J10" s="35">
        <v>46419</v>
      </c>
      <c r="K10" s="36">
        <f ca="1">J10-TODAY()</f>
        <v>184</v>
      </c>
      <c r="L10" s="35">
        <v>46305</v>
      </c>
      <c r="M10" s="36">
        <f ca="1">L10-TODAY()</f>
        <v>70</v>
      </c>
      <c r="N10" s="35">
        <v>46392</v>
      </c>
      <c r="O10" s="35">
        <v>46419</v>
      </c>
      <c r="P10" s="26">
        <v>0</v>
      </c>
      <c r="Q10" s="35">
        <v>46204</v>
      </c>
      <c r="R10" s="26">
        <v>30000</v>
      </c>
      <c r="S10" s="26">
        <v>35000</v>
      </c>
      <c r="T10" s="35">
        <v>46204</v>
      </c>
      <c r="U10" s="27" t="s">
        <v>240</v>
      </c>
      <c r="V10" s="35">
        <v>46143</v>
      </c>
      <c r="W10" s="26">
        <v>7</v>
      </c>
      <c r="X10" s="27" t="s">
        <v>240</v>
      </c>
      <c r="Y10" s="35">
        <v>46228</v>
      </c>
      <c r="Z10" s="26">
        <v>150</v>
      </c>
      <c r="AA10" s="26">
        <v>6</v>
      </c>
      <c r="AB10" s="26">
        <v>6</v>
      </c>
      <c r="AC10" s="36">
        <f>IF(AB10=0,0,ROUND((AB10-AA10)/AB10*100,0))</f>
        <v>0</v>
      </c>
      <c r="AD10" s="27" t="s">
        <v>241</v>
      </c>
      <c r="AE10" s="27" t="s">
        <v>241</v>
      </c>
      <c r="AF10" s="27" t="s">
        <v>241</v>
      </c>
      <c r="AG10" s="37" t="str">
        <f ca="1">IF(OR(K10&lt;=0,M10&lt;=0),"Vencido",IF(OR(K10&lt;=30,M10&lt;=30,P10&gt;0,R10&gt;=S10,AC10&gt;=15,W10&lt;2,U10="Falla"),"Alerta","OK"))</f>
        <v>OK</v>
      </c>
    </row>
  </sheetData>
  <autoFilter ref="A5:AG10" xr:uid="{00000000-0009-0000-0000-000002000000}"/>
  <mergeCells count="8">
    <mergeCell ref="A1:AG1"/>
    <mergeCell ref="A2:AG2"/>
    <mergeCell ref="A4:D4"/>
    <mergeCell ref="E4:I4"/>
    <mergeCell ref="J4:O4"/>
    <mergeCell ref="Q4:Y4"/>
    <mergeCell ref="Z4:AC4"/>
    <mergeCell ref="AD4:AF4"/>
  </mergeCells>
  <conditionalFormatting sqref="AG6:AG10">
    <cfRule type="cellIs" dxfId="7" priority="2" operator="equal">
      <formula>"OK"</formula>
    </cfRule>
    <cfRule type="cellIs" dxfId="6" priority="3" operator="equal">
      <formula>"Alerta"</formula>
    </cfRule>
    <cfRule type="cellIs" dxfId="5" priority="4" operator="equal">
      <formula>"Vencido"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0"/>
  <sheetViews>
    <sheetView showGridLines="0" zoomScaleNormal="100" workbookViewId="0">
      <pane ySplit="5" topLeftCell="A6" activePane="bottomLeft" state="frozen"/>
      <selection pane="bottomLeft" sqref="A1:AB1"/>
    </sheetView>
  </sheetViews>
  <sheetFormatPr baseColWidth="10" defaultColWidth="8.6640625" defaultRowHeight="14.4" x14ac:dyDescent="0.3"/>
  <cols>
    <col min="1" max="1" width="12" customWidth="1"/>
    <col min="2" max="2" width="18" customWidth="1"/>
    <col min="3" max="4" width="14" customWidth="1"/>
    <col min="5" max="5" width="11" customWidth="1"/>
    <col min="6" max="6" width="14" customWidth="1"/>
    <col min="7" max="7" width="16" customWidth="1"/>
    <col min="8" max="8" width="10" customWidth="1"/>
    <col min="9" max="9" width="12" customWidth="1"/>
    <col min="10" max="10" width="8" customWidth="1"/>
    <col min="11" max="11" width="13" customWidth="1"/>
    <col min="12" max="12" width="12" customWidth="1"/>
    <col min="13" max="14" width="10" customWidth="1"/>
    <col min="15" max="15" width="13" customWidth="1"/>
    <col min="16" max="16" width="14" customWidth="1"/>
    <col min="17" max="19" width="11" customWidth="1"/>
    <col min="20" max="21" width="12" customWidth="1"/>
    <col min="22" max="22" width="11" customWidth="1"/>
    <col min="23" max="23" width="10" customWidth="1"/>
    <col min="24" max="24" width="12" customWidth="1"/>
    <col min="25" max="25" width="11" customWidth="1"/>
    <col min="26" max="26" width="7" customWidth="1"/>
    <col min="27" max="27" width="12" customWidth="1"/>
    <col min="28" max="28" width="14" customWidth="1"/>
  </cols>
  <sheetData>
    <row r="1" spans="1:28" ht="24" customHeight="1" x14ac:dyDescent="0.3">
      <c r="A1" s="13" t="s">
        <v>273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 spans="1:28" x14ac:dyDescent="0.3">
      <c r="A2" s="12" t="s">
        <v>274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</row>
    <row r="4" spans="1:28" ht="18" customHeight="1" x14ac:dyDescent="0.3">
      <c r="A4" s="6" t="s">
        <v>195</v>
      </c>
      <c r="B4" s="6"/>
      <c r="C4" s="6"/>
      <c r="D4" s="6"/>
      <c r="E4" s="6"/>
      <c r="F4" s="6"/>
      <c r="G4" s="6"/>
      <c r="H4" s="6" t="s">
        <v>275</v>
      </c>
      <c r="I4" s="6"/>
      <c r="J4" s="6"/>
      <c r="K4" s="6"/>
      <c r="L4" s="6"/>
      <c r="M4" s="6" t="s">
        <v>276</v>
      </c>
      <c r="N4" s="6"/>
      <c r="O4" s="6"/>
      <c r="P4" s="6"/>
      <c r="Q4" s="6" t="s">
        <v>277</v>
      </c>
      <c r="R4" s="6"/>
      <c r="S4" s="6"/>
      <c r="T4" s="6"/>
      <c r="U4" s="6"/>
      <c r="V4" s="6"/>
      <c r="W4" s="6"/>
      <c r="X4" s="6"/>
      <c r="Y4" s="6"/>
      <c r="Z4" s="6" t="s">
        <v>278</v>
      </c>
      <c r="AA4" s="6"/>
      <c r="AB4" s="32" t="s">
        <v>201</v>
      </c>
    </row>
    <row r="5" spans="1:28" ht="30" customHeight="1" x14ac:dyDescent="0.3">
      <c r="A5" s="33" t="s">
        <v>279</v>
      </c>
      <c r="B5" s="33" t="s">
        <v>280</v>
      </c>
      <c r="C5" s="33" t="s">
        <v>281</v>
      </c>
      <c r="D5" s="33" t="s">
        <v>282</v>
      </c>
      <c r="E5" s="33" t="s">
        <v>205</v>
      </c>
      <c r="F5" s="33" t="s">
        <v>207</v>
      </c>
      <c r="G5" s="33" t="s">
        <v>283</v>
      </c>
      <c r="H5" s="33" t="s">
        <v>284</v>
      </c>
      <c r="I5" s="33" t="s">
        <v>285</v>
      </c>
      <c r="J5" s="33" t="s">
        <v>286</v>
      </c>
      <c r="K5" s="33" t="s">
        <v>287</v>
      </c>
      <c r="L5" s="33" t="s">
        <v>288</v>
      </c>
      <c r="M5" s="33" t="s">
        <v>289</v>
      </c>
      <c r="N5" s="33" t="s">
        <v>290</v>
      </c>
      <c r="O5" s="33" t="s">
        <v>291</v>
      </c>
      <c r="P5" s="33" t="s">
        <v>292</v>
      </c>
      <c r="Q5" s="33" t="s">
        <v>62</v>
      </c>
      <c r="R5" s="33" t="s">
        <v>66</v>
      </c>
      <c r="S5" s="33" t="s">
        <v>67</v>
      </c>
      <c r="T5" s="33" t="s">
        <v>68</v>
      </c>
      <c r="U5" s="33" t="s">
        <v>69</v>
      </c>
      <c r="V5" s="33" t="s">
        <v>70</v>
      </c>
      <c r="W5" s="33" t="s">
        <v>293</v>
      </c>
      <c r="X5" s="33" t="s">
        <v>72</v>
      </c>
      <c r="Y5" s="33" t="s">
        <v>294</v>
      </c>
      <c r="Z5" s="33" t="s">
        <v>75</v>
      </c>
      <c r="AA5" s="33" t="s">
        <v>295</v>
      </c>
      <c r="AB5" s="33" t="s">
        <v>231</v>
      </c>
    </row>
    <row r="6" spans="1:28" ht="26.4" x14ac:dyDescent="0.3">
      <c r="A6" s="34" t="s">
        <v>296</v>
      </c>
      <c r="B6" s="27" t="s">
        <v>297</v>
      </c>
      <c r="C6" s="27" t="s">
        <v>298</v>
      </c>
      <c r="D6" s="27" t="s">
        <v>299</v>
      </c>
      <c r="E6" s="27" t="s">
        <v>235</v>
      </c>
      <c r="F6" s="27" t="s">
        <v>237</v>
      </c>
      <c r="G6" s="27" t="s">
        <v>232</v>
      </c>
      <c r="H6" s="27" t="s">
        <v>300</v>
      </c>
      <c r="I6" s="35">
        <v>46447</v>
      </c>
      <c r="J6" s="36">
        <f ca="1">I6-TODAY()</f>
        <v>212</v>
      </c>
      <c r="K6" s="35">
        <v>46447</v>
      </c>
      <c r="L6" s="27" t="s">
        <v>301</v>
      </c>
      <c r="M6" s="26">
        <v>3</v>
      </c>
      <c r="N6" s="26">
        <v>24</v>
      </c>
      <c r="O6" s="35">
        <v>46122</v>
      </c>
      <c r="P6" s="35">
        <v>46305</v>
      </c>
      <c r="Q6" s="26">
        <v>88</v>
      </c>
      <c r="R6" s="26">
        <v>90</v>
      </c>
      <c r="S6" s="26">
        <v>85</v>
      </c>
      <c r="T6" s="26">
        <v>82</v>
      </c>
      <c r="U6" s="26">
        <v>90</v>
      </c>
      <c r="V6" s="26">
        <v>85</v>
      </c>
      <c r="W6" s="26">
        <v>84</v>
      </c>
      <c r="X6" s="26">
        <v>80</v>
      </c>
      <c r="Y6" s="26">
        <v>86</v>
      </c>
      <c r="Z6" s="36">
        <f>ROUND(AVERAGE(Q6:Y6),0)</f>
        <v>86</v>
      </c>
      <c r="AA6" s="37" t="str">
        <f>IF(Z6&gt;=70,"Aprobado","No aprobado")</f>
        <v>Aprobado</v>
      </c>
      <c r="AB6" s="37" t="str">
        <f ca="1">IF(J6&lt;=0,"Licencia vencida",IF(OR(J6&lt;=30,Z6&lt;70,L6="No apto"),"Alerta","OK"))</f>
        <v>OK</v>
      </c>
    </row>
    <row r="7" spans="1:28" ht="26.4" x14ac:dyDescent="0.3">
      <c r="A7" s="34" t="s">
        <v>302</v>
      </c>
      <c r="B7" s="27" t="s">
        <v>249</v>
      </c>
      <c r="C7" s="27" t="s">
        <v>303</v>
      </c>
      <c r="D7" s="27" t="s">
        <v>304</v>
      </c>
      <c r="E7" s="27" t="s">
        <v>245</v>
      </c>
      <c r="F7" s="27" t="s">
        <v>247</v>
      </c>
      <c r="G7" s="27" t="s">
        <v>242</v>
      </c>
      <c r="H7" s="27" t="s">
        <v>305</v>
      </c>
      <c r="I7" s="35">
        <v>46249</v>
      </c>
      <c r="J7" s="36">
        <f ca="1">I7-TODAY()</f>
        <v>14</v>
      </c>
      <c r="K7" s="35">
        <v>46266</v>
      </c>
      <c r="L7" s="27" t="s">
        <v>301</v>
      </c>
      <c r="M7" s="26">
        <v>2</v>
      </c>
      <c r="N7" s="26">
        <v>16</v>
      </c>
      <c r="O7" s="35">
        <v>46086</v>
      </c>
      <c r="P7" s="35">
        <v>46270</v>
      </c>
      <c r="Q7" s="26">
        <v>70</v>
      </c>
      <c r="R7" s="26">
        <v>65</v>
      </c>
      <c r="S7" s="26">
        <v>60</v>
      </c>
      <c r="T7" s="26">
        <v>55</v>
      </c>
      <c r="U7" s="26">
        <v>70</v>
      </c>
      <c r="V7" s="26">
        <v>75</v>
      </c>
      <c r="W7" s="26">
        <v>68</v>
      </c>
      <c r="X7" s="26">
        <v>66</v>
      </c>
      <c r="Y7" s="26">
        <v>60</v>
      </c>
      <c r="Z7" s="36">
        <f>ROUND(AVERAGE(Q7:Y7),0)</f>
        <v>65</v>
      </c>
      <c r="AA7" s="37" t="str">
        <f>IF(Z7&gt;=70,"Aprobado","No aprobado")</f>
        <v>No aprobado</v>
      </c>
      <c r="AB7" s="37" t="str">
        <f ca="1">IF(J7&lt;=0,"Licencia vencida",IF(OR(J7&lt;=30,Z7&lt;70,L7="No apto"),"Alerta","OK"))</f>
        <v>Alerta</v>
      </c>
    </row>
    <row r="8" spans="1:28" ht="26.4" x14ac:dyDescent="0.3">
      <c r="A8" s="34" t="s">
        <v>306</v>
      </c>
      <c r="B8" s="27" t="s">
        <v>307</v>
      </c>
      <c r="C8" s="27" t="s">
        <v>298</v>
      </c>
      <c r="D8" s="27" t="s">
        <v>299</v>
      </c>
      <c r="E8" s="27" t="s">
        <v>235</v>
      </c>
      <c r="F8" s="27" t="s">
        <v>237</v>
      </c>
      <c r="G8" s="27" t="s">
        <v>308</v>
      </c>
      <c r="H8" s="27" t="s">
        <v>309</v>
      </c>
      <c r="I8" s="35">
        <v>46204</v>
      </c>
      <c r="J8" s="36">
        <f ca="1">I8-TODAY()</f>
        <v>-31</v>
      </c>
      <c r="K8" s="35">
        <v>46357</v>
      </c>
      <c r="L8" s="27" t="s">
        <v>301</v>
      </c>
      <c r="M8" s="26">
        <v>4</v>
      </c>
      <c r="N8" s="26">
        <v>32</v>
      </c>
      <c r="O8" s="35">
        <v>46143</v>
      </c>
      <c r="P8" s="35">
        <v>46327</v>
      </c>
      <c r="Q8" s="26">
        <v>82</v>
      </c>
      <c r="R8" s="26">
        <v>80</v>
      </c>
      <c r="S8" s="26">
        <v>78</v>
      </c>
      <c r="T8" s="26">
        <v>75</v>
      </c>
      <c r="U8" s="26">
        <v>85</v>
      </c>
      <c r="V8" s="26">
        <v>88</v>
      </c>
      <c r="W8" s="26">
        <v>80</v>
      </c>
      <c r="X8" s="26">
        <v>79</v>
      </c>
      <c r="Y8" s="26">
        <v>80</v>
      </c>
      <c r="Z8" s="36">
        <f>ROUND(AVERAGE(Q8:Y8),0)</f>
        <v>81</v>
      </c>
      <c r="AA8" s="37" t="str">
        <f>IF(Z8&gt;=70,"Aprobado","No aprobado")</f>
        <v>Aprobado</v>
      </c>
      <c r="AB8" s="37" t="str">
        <f ca="1">IF(J8&lt;=0,"Licencia vencida",IF(OR(J8&lt;=30,Z8&lt;70,L8="No apto"),"Alerta","OK"))</f>
        <v>Licencia vencida</v>
      </c>
    </row>
    <row r="9" spans="1:28" ht="26.4" x14ac:dyDescent="0.3">
      <c r="A9" s="34" t="s">
        <v>310</v>
      </c>
      <c r="B9" s="27" t="s">
        <v>265</v>
      </c>
      <c r="C9" s="27" t="s">
        <v>298</v>
      </c>
      <c r="D9" s="27" t="s">
        <v>304</v>
      </c>
      <c r="E9" s="27" t="s">
        <v>261</v>
      </c>
      <c r="F9" s="27" t="s">
        <v>263</v>
      </c>
      <c r="G9" s="27" t="s">
        <v>258</v>
      </c>
      <c r="H9" s="27" t="s">
        <v>311</v>
      </c>
      <c r="I9" s="35">
        <v>46539</v>
      </c>
      <c r="J9" s="36">
        <f ca="1">I9-TODAY()</f>
        <v>304</v>
      </c>
      <c r="K9" s="35">
        <v>46296</v>
      </c>
      <c r="L9" s="27" t="s">
        <v>312</v>
      </c>
      <c r="M9" s="26">
        <v>1</v>
      </c>
      <c r="N9" s="26">
        <v>8</v>
      </c>
      <c r="O9" s="35">
        <v>46068</v>
      </c>
      <c r="P9" s="35">
        <v>46249</v>
      </c>
      <c r="Q9" s="26">
        <v>55</v>
      </c>
      <c r="R9" s="26">
        <v>50</v>
      </c>
      <c r="S9" s="26">
        <v>45</v>
      </c>
      <c r="T9" s="26">
        <v>42</v>
      </c>
      <c r="U9" s="26">
        <v>60</v>
      </c>
      <c r="V9" s="26">
        <v>58</v>
      </c>
      <c r="W9" s="26">
        <v>52</v>
      </c>
      <c r="X9" s="26">
        <v>50</v>
      </c>
      <c r="Y9" s="26">
        <v>48</v>
      </c>
      <c r="Z9" s="36">
        <f>ROUND(AVERAGE(Q9:Y9),0)</f>
        <v>51</v>
      </c>
      <c r="AA9" s="37" t="str">
        <f>IF(Z9&gt;=70,"Aprobado","No aprobado")</f>
        <v>No aprobado</v>
      </c>
      <c r="AB9" s="37" t="str">
        <f ca="1">IF(J9&lt;=0,"Licencia vencida",IF(OR(J9&lt;=30,Z9&lt;70,L9="No apto"),"Alerta","OK"))</f>
        <v>Alerta</v>
      </c>
    </row>
    <row r="10" spans="1:28" ht="26.4" x14ac:dyDescent="0.3">
      <c r="A10" s="34" t="s">
        <v>313</v>
      </c>
      <c r="B10" s="27" t="s">
        <v>272</v>
      </c>
      <c r="C10" s="27" t="s">
        <v>314</v>
      </c>
      <c r="D10" s="27" t="s">
        <v>315</v>
      </c>
      <c r="E10" s="27" t="s">
        <v>235</v>
      </c>
      <c r="F10" s="27" t="s">
        <v>237</v>
      </c>
      <c r="G10" s="27" t="s">
        <v>316</v>
      </c>
      <c r="H10" s="27" t="s">
        <v>300</v>
      </c>
      <c r="I10" s="35">
        <v>46357</v>
      </c>
      <c r="J10" s="36">
        <f ca="1">I10-TODAY()</f>
        <v>122</v>
      </c>
      <c r="K10" s="35">
        <v>46397</v>
      </c>
      <c r="L10" s="27" t="s">
        <v>301</v>
      </c>
      <c r="M10" s="26">
        <v>5</v>
      </c>
      <c r="N10" s="26">
        <v>40</v>
      </c>
      <c r="O10" s="35">
        <v>46174</v>
      </c>
      <c r="P10" s="35">
        <v>46357</v>
      </c>
      <c r="Q10" s="26">
        <v>92</v>
      </c>
      <c r="R10" s="26">
        <v>95</v>
      </c>
      <c r="S10" s="26">
        <v>90</v>
      </c>
      <c r="T10" s="26">
        <v>88</v>
      </c>
      <c r="U10" s="26">
        <v>88</v>
      </c>
      <c r="V10" s="26">
        <v>94</v>
      </c>
      <c r="W10" s="26">
        <v>90</v>
      </c>
      <c r="X10" s="26">
        <v>86</v>
      </c>
      <c r="Y10" s="26">
        <v>90</v>
      </c>
      <c r="Z10" s="36">
        <f>ROUND(AVERAGE(Q10:Y10),0)</f>
        <v>90</v>
      </c>
      <c r="AA10" s="37" t="str">
        <f>IF(Z10&gt;=70,"Aprobado","No aprobado")</f>
        <v>Aprobado</v>
      </c>
      <c r="AB10" s="37" t="str">
        <f ca="1">IF(J10&lt;=0,"Licencia vencida",IF(OR(J10&lt;=30,Z10&lt;70,L10="No apto"),"Alerta","OK"))</f>
        <v>OK</v>
      </c>
    </row>
  </sheetData>
  <autoFilter ref="A5:AB10" xr:uid="{00000000-0009-0000-0000-000003000000}"/>
  <mergeCells count="7">
    <mergeCell ref="A1:AB1"/>
    <mergeCell ref="A2:AB2"/>
    <mergeCell ref="A4:G4"/>
    <mergeCell ref="H4:L4"/>
    <mergeCell ref="M4:P4"/>
    <mergeCell ref="Q4:Y4"/>
    <mergeCell ref="Z4:AA4"/>
  </mergeCells>
  <conditionalFormatting sqref="AA6:AA10">
    <cfRule type="cellIs" dxfId="4" priority="5" operator="equal">
      <formula>"Aprobado"</formula>
    </cfRule>
    <cfRule type="cellIs" dxfId="3" priority="6" operator="equal">
      <formula>"No aprobado"</formula>
    </cfRule>
  </conditionalFormatting>
  <conditionalFormatting sqref="AB6:AB10">
    <cfRule type="cellIs" dxfId="2" priority="2" operator="equal">
      <formula>"OK"</formula>
    </cfRule>
    <cfRule type="cellIs" dxfId="1" priority="3" operator="equal">
      <formula>"Alerta"</formula>
    </cfRule>
    <cfRule type="cellIs" dxfId="0" priority="4" operator="equal">
      <formula>"Licencia vencida"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53"/>
  <sheetViews>
    <sheetView showGridLines="0" topLeftCell="A49" zoomScaleNormal="100" workbookViewId="0">
      <selection sqref="A1:F1"/>
    </sheetView>
  </sheetViews>
  <sheetFormatPr baseColWidth="10" defaultColWidth="8.6640625" defaultRowHeight="14.4" x14ac:dyDescent="0.3"/>
  <cols>
    <col min="1" max="1" width="30" customWidth="1"/>
    <col min="2" max="3" width="20" customWidth="1"/>
    <col min="4" max="4" width="22" customWidth="1"/>
    <col min="5" max="6" width="20" customWidth="1"/>
  </cols>
  <sheetData>
    <row r="1" spans="1:6" ht="24" customHeight="1" x14ac:dyDescent="0.3">
      <c r="A1" s="13" t="s">
        <v>317</v>
      </c>
      <c r="B1" s="13"/>
      <c r="C1" s="13"/>
      <c r="D1" s="13"/>
      <c r="E1" s="13"/>
      <c r="F1" s="13"/>
    </row>
    <row r="2" spans="1:6" x14ac:dyDescent="0.3">
      <c r="A2" s="12" t="s">
        <v>318</v>
      </c>
      <c r="B2" s="12"/>
      <c r="C2" s="12"/>
      <c r="D2" s="12"/>
      <c r="E2" s="12"/>
      <c r="F2" s="12"/>
    </row>
    <row r="4" spans="1:6" ht="19.5" customHeight="1" x14ac:dyDescent="0.3">
      <c r="A4" s="11" t="s">
        <v>319</v>
      </c>
      <c r="B4" s="11"/>
      <c r="C4" s="11"/>
      <c r="D4" s="11"/>
      <c r="E4" s="11"/>
      <c r="F4" s="11"/>
    </row>
    <row r="5" spans="1:6" ht="15" customHeight="1" x14ac:dyDescent="0.3">
      <c r="A5" s="28" t="s">
        <v>320</v>
      </c>
      <c r="B5" s="8" t="s">
        <v>321</v>
      </c>
      <c r="C5" s="8"/>
      <c r="D5" s="28" t="s">
        <v>322</v>
      </c>
      <c r="E5" s="5" t="s">
        <v>323</v>
      </c>
      <c r="F5" s="5"/>
    </row>
    <row r="6" spans="1:6" ht="15" customHeight="1" x14ac:dyDescent="0.3">
      <c r="A6" s="28" t="s">
        <v>324</v>
      </c>
      <c r="B6" s="8" t="s">
        <v>325</v>
      </c>
      <c r="C6" s="8"/>
      <c r="D6" s="28" t="s">
        <v>326</v>
      </c>
      <c r="E6" s="5" t="s">
        <v>327</v>
      </c>
      <c r="F6" s="5"/>
    </row>
    <row r="7" spans="1:6" ht="15" customHeight="1" x14ac:dyDescent="0.3">
      <c r="A7" s="28" t="s">
        <v>328</v>
      </c>
      <c r="B7" s="8" t="s">
        <v>329</v>
      </c>
      <c r="C7" s="8"/>
      <c r="D7" s="38"/>
      <c r="E7" s="38"/>
      <c r="F7" s="38"/>
    </row>
    <row r="8" spans="1:6" ht="19.5" customHeight="1" x14ac:dyDescent="0.3">
      <c r="A8" s="11" t="s">
        <v>330</v>
      </c>
      <c r="B8" s="11"/>
      <c r="C8" s="11"/>
      <c r="D8" s="11"/>
      <c r="E8" s="11"/>
      <c r="F8" s="11"/>
    </row>
    <row r="9" spans="1:6" ht="15" customHeight="1" x14ac:dyDescent="0.3">
      <c r="A9" s="28" t="s">
        <v>331</v>
      </c>
      <c r="B9" s="8" t="s">
        <v>332</v>
      </c>
      <c r="C9" s="8"/>
      <c r="D9" s="28" t="s">
        <v>333</v>
      </c>
      <c r="E9" s="8" t="s">
        <v>334</v>
      </c>
      <c r="F9" s="8"/>
    </row>
    <row r="10" spans="1:6" ht="23.85" customHeight="1" x14ac:dyDescent="0.3">
      <c r="A10" s="28" t="s">
        <v>335</v>
      </c>
      <c r="B10" s="8" t="s">
        <v>336</v>
      </c>
      <c r="C10" s="8"/>
      <c r="D10" s="28" t="s">
        <v>337</v>
      </c>
      <c r="E10" s="8" t="s">
        <v>338</v>
      </c>
      <c r="F10" s="8"/>
    </row>
    <row r="11" spans="1:6" ht="15" customHeight="1" x14ac:dyDescent="0.3">
      <c r="A11" s="28" t="s">
        <v>339</v>
      </c>
      <c r="B11" s="8" t="s">
        <v>340</v>
      </c>
      <c r="C11" s="8"/>
      <c r="D11" s="28" t="s">
        <v>341</v>
      </c>
      <c r="E11" s="8" t="s">
        <v>342</v>
      </c>
      <c r="F11" s="8"/>
    </row>
    <row r="12" spans="1:6" ht="19.5" customHeight="1" x14ac:dyDescent="0.3">
      <c r="A12" s="11" t="s">
        <v>343</v>
      </c>
      <c r="B12" s="11"/>
      <c r="C12" s="11"/>
      <c r="D12" s="11"/>
      <c r="E12" s="11"/>
      <c r="F12" s="11"/>
    </row>
    <row r="13" spans="1:6" ht="15" customHeight="1" x14ac:dyDescent="0.3">
      <c r="A13" s="28" t="s">
        <v>344</v>
      </c>
      <c r="B13" s="8" t="s">
        <v>345</v>
      </c>
      <c r="C13" s="8"/>
      <c r="D13" s="28" t="s">
        <v>346</v>
      </c>
      <c r="E13" s="8" t="s">
        <v>345</v>
      </c>
      <c r="F13" s="8"/>
    </row>
    <row r="14" spans="1:6" ht="19.5" customHeight="1" x14ac:dyDescent="0.3">
      <c r="A14" s="11" t="s">
        <v>347</v>
      </c>
      <c r="B14" s="11"/>
      <c r="C14" s="11"/>
      <c r="D14" s="11"/>
      <c r="E14" s="11"/>
      <c r="F14" s="11"/>
    </row>
    <row r="15" spans="1:6" x14ac:dyDescent="0.3">
      <c r="A15" s="23" t="s">
        <v>348</v>
      </c>
      <c r="B15" s="23" t="s">
        <v>349</v>
      </c>
      <c r="C15" s="23" t="s">
        <v>350</v>
      </c>
      <c r="D15" s="23" t="s">
        <v>351</v>
      </c>
      <c r="E15" s="23" t="s">
        <v>352</v>
      </c>
    </row>
    <row r="16" spans="1:6" x14ac:dyDescent="0.3">
      <c r="A16" s="25" t="s">
        <v>353</v>
      </c>
      <c r="B16" s="25" t="s">
        <v>354</v>
      </c>
      <c r="C16" s="24" t="s">
        <v>355</v>
      </c>
      <c r="D16" s="24" t="s">
        <v>356</v>
      </c>
      <c r="E16" s="26"/>
    </row>
    <row r="17" spans="1:6" x14ac:dyDescent="0.3">
      <c r="A17" s="25" t="s">
        <v>357</v>
      </c>
      <c r="B17" s="25" t="s">
        <v>354</v>
      </c>
      <c r="C17" s="24" t="s">
        <v>355</v>
      </c>
      <c r="D17" s="24" t="s">
        <v>358</v>
      </c>
      <c r="E17" s="26"/>
    </row>
    <row r="18" spans="1:6" x14ac:dyDescent="0.3">
      <c r="A18" s="25" t="s">
        <v>359</v>
      </c>
      <c r="B18" s="25" t="s">
        <v>354</v>
      </c>
      <c r="C18" s="24" t="s">
        <v>355</v>
      </c>
      <c r="D18" s="24" t="s">
        <v>360</v>
      </c>
      <c r="E18" s="26"/>
    </row>
    <row r="19" spans="1:6" x14ac:dyDescent="0.3">
      <c r="A19" s="25" t="s">
        <v>361</v>
      </c>
      <c r="B19" s="25" t="s">
        <v>354</v>
      </c>
      <c r="C19" s="24" t="s">
        <v>355</v>
      </c>
      <c r="D19" s="24" t="s">
        <v>362</v>
      </c>
      <c r="E19" s="26"/>
    </row>
    <row r="20" spans="1:6" x14ac:dyDescent="0.3">
      <c r="A20" s="25" t="s">
        <v>363</v>
      </c>
      <c r="B20" s="25" t="s">
        <v>354</v>
      </c>
      <c r="C20" s="24" t="s">
        <v>355</v>
      </c>
      <c r="D20" s="24" t="s">
        <v>364</v>
      </c>
      <c r="E20" s="26"/>
    </row>
    <row r="21" spans="1:6" x14ac:dyDescent="0.3">
      <c r="A21" s="25" t="s">
        <v>365</v>
      </c>
      <c r="B21" s="25" t="s">
        <v>354</v>
      </c>
      <c r="C21" s="24" t="s">
        <v>355</v>
      </c>
      <c r="D21" s="24" t="s">
        <v>366</v>
      </c>
      <c r="E21" s="26"/>
    </row>
    <row r="22" spans="1:6" x14ac:dyDescent="0.3">
      <c r="A22" s="25" t="s">
        <v>367</v>
      </c>
      <c r="B22" s="25" t="s">
        <v>354</v>
      </c>
      <c r="C22" s="24" t="s">
        <v>355</v>
      </c>
      <c r="D22" s="24" t="s">
        <v>368</v>
      </c>
      <c r="E22" s="26"/>
    </row>
    <row r="23" spans="1:6" x14ac:dyDescent="0.3">
      <c r="A23" s="25" t="s">
        <v>369</v>
      </c>
      <c r="B23" s="25" t="s">
        <v>354</v>
      </c>
      <c r="C23" s="24" t="s">
        <v>355</v>
      </c>
      <c r="D23" s="24" t="s">
        <v>370</v>
      </c>
      <c r="E23" s="26"/>
    </row>
    <row r="24" spans="1:6" x14ac:dyDescent="0.3">
      <c r="A24" s="25" t="s">
        <v>353</v>
      </c>
      <c r="B24" s="25" t="s">
        <v>371</v>
      </c>
      <c r="C24" s="26"/>
      <c r="D24" s="26"/>
      <c r="E24" s="26"/>
    </row>
    <row r="25" spans="1:6" x14ac:dyDescent="0.3">
      <c r="A25" s="25" t="s">
        <v>357</v>
      </c>
      <c r="B25" s="25" t="s">
        <v>371</v>
      </c>
      <c r="C25" s="26"/>
      <c r="D25" s="26"/>
      <c r="E25" s="26"/>
    </row>
    <row r="26" spans="1:6" x14ac:dyDescent="0.3">
      <c r="A26" s="25" t="s">
        <v>361</v>
      </c>
      <c r="B26" s="25" t="s">
        <v>371</v>
      </c>
      <c r="C26" s="26"/>
      <c r="D26" s="26"/>
      <c r="E26" s="26"/>
    </row>
    <row r="27" spans="1:6" x14ac:dyDescent="0.3">
      <c r="A27" s="25" t="s">
        <v>367</v>
      </c>
      <c r="B27" s="25" t="s">
        <v>371</v>
      </c>
      <c r="C27" s="26"/>
      <c r="D27" s="26"/>
      <c r="E27" s="26"/>
    </row>
    <row r="28" spans="1:6" ht="19.5" customHeight="1" x14ac:dyDescent="0.3">
      <c r="A28" s="11" t="s">
        <v>372</v>
      </c>
      <c r="B28" s="11"/>
      <c r="C28" s="11"/>
      <c r="D28" s="11"/>
      <c r="E28" s="11"/>
      <c r="F28" s="11"/>
    </row>
    <row r="29" spans="1:6" x14ac:dyDescent="0.3">
      <c r="A29" s="4" t="s">
        <v>373</v>
      </c>
      <c r="B29" s="4"/>
      <c r="C29" s="4"/>
      <c r="D29" s="4"/>
      <c r="E29" s="4"/>
      <c r="F29" s="4"/>
    </row>
    <row r="30" spans="1:6" x14ac:dyDescent="0.3">
      <c r="A30" s="4"/>
      <c r="B30" s="4"/>
      <c r="C30" s="4"/>
      <c r="D30" s="4"/>
      <c r="E30" s="4"/>
      <c r="F30" s="4"/>
    </row>
    <row r="31" spans="1:6" x14ac:dyDescent="0.3">
      <c r="A31" s="4"/>
      <c r="B31" s="4"/>
      <c r="C31" s="4"/>
      <c r="D31" s="4"/>
      <c r="E31" s="4"/>
      <c r="F31" s="4"/>
    </row>
    <row r="32" spans="1:6" x14ac:dyDescent="0.3">
      <c r="A32" s="4"/>
      <c r="B32" s="4"/>
      <c r="C32" s="4"/>
      <c r="D32" s="4"/>
      <c r="E32" s="4"/>
      <c r="F32" s="4"/>
    </row>
    <row r="33" spans="1:6" x14ac:dyDescent="0.3">
      <c r="A33" s="4"/>
      <c r="B33" s="4"/>
      <c r="C33" s="4"/>
      <c r="D33" s="4"/>
      <c r="E33" s="4"/>
      <c r="F33" s="4"/>
    </row>
    <row r="34" spans="1:6" x14ac:dyDescent="0.3">
      <c r="A34" s="4"/>
      <c r="B34" s="4"/>
      <c r="C34" s="4"/>
      <c r="D34" s="4"/>
      <c r="E34" s="4"/>
      <c r="F34" s="4"/>
    </row>
    <row r="35" spans="1:6" x14ac:dyDescent="0.3">
      <c r="A35" s="4"/>
      <c r="B35" s="4"/>
      <c r="C35" s="4"/>
      <c r="D35" s="4"/>
      <c r="E35" s="4"/>
      <c r="F35" s="4"/>
    </row>
    <row r="37" spans="1:6" ht="19.5" customHeight="1" x14ac:dyDescent="0.3">
      <c r="A37" s="11" t="s">
        <v>374</v>
      </c>
      <c r="B37" s="11"/>
      <c r="C37" s="11"/>
      <c r="D37" s="11"/>
      <c r="E37" s="11"/>
      <c r="F37" s="11"/>
    </row>
    <row r="38" spans="1:6" ht="26.4" x14ac:dyDescent="0.3">
      <c r="A38" s="25" t="s">
        <v>375</v>
      </c>
      <c r="B38" s="3"/>
      <c r="C38" s="3"/>
      <c r="D38" s="25" t="s">
        <v>376</v>
      </c>
      <c r="E38" s="3"/>
      <c r="F38" s="3"/>
    </row>
    <row r="39" spans="1:6" ht="26.4" x14ac:dyDescent="0.3">
      <c r="A39" s="25" t="s">
        <v>377</v>
      </c>
      <c r="B39" s="3"/>
      <c r="C39" s="3"/>
      <c r="D39" s="25" t="s">
        <v>378</v>
      </c>
      <c r="E39" s="3"/>
      <c r="F39" s="3"/>
    </row>
    <row r="40" spans="1:6" x14ac:dyDescent="0.3">
      <c r="A40" s="25" t="s">
        <v>379</v>
      </c>
      <c r="B40" s="3"/>
      <c r="C40" s="3"/>
      <c r="D40" s="25" t="s">
        <v>380</v>
      </c>
      <c r="E40" s="3"/>
      <c r="F40" s="3"/>
    </row>
    <row r="41" spans="1:6" ht="39.6" x14ac:dyDescent="0.3">
      <c r="A41" s="25" t="s">
        <v>381</v>
      </c>
      <c r="B41" s="3"/>
      <c r="C41" s="3"/>
      <c r="D41" s="25" t="s">
        <v>382</v>
      </c>
      <c r="E41" s="3"/>
      <c r="F41" s="3"/>
    </row>
    <row r="42" spans="1:6" ht="26.4" x14ac:dyDescent="0.3">
      <c r="A42" s="25" t="s">
        <v>383</v>
      </c>
      <c r="B42" s="3"/>
      <c r="C42" s="3"/>
      <c r="D42" s="25" t="s">
        <v>384</v>
      </c>
      <c r="E42" s="3"/>
      <c r="F42" s="3"/>
    </row>
    <row r="43" spans="1:6" ht="26.4" x14ac:dyDescent="0.3">
      <c r="A43" s="25" t="s">
        <v>385</v>
      </c>
      <c r="B43" s="3"/>
      <c r="C43" s="3"/>
      <c r="D43" s="25" t="s">
        <v>386</v>
      </c>
      <c r="E43" s="3"/>
      <c r="F43" s="3"/>
    </row>
    <row r="44" spans="1:6" ht="39.6" x14ac:dyDescent="0.3">
      <c r="A44" s="25" t="s">
        <v>387</v>
      </c>
      <c r="B44" s="3"/>
      <c r="C44" s="3"/>
      <c r="D44" s="25" t="s">
        <v>388</v>
      </c>
      <c r="E44" s="3"/>
      <c r="F44" s="3"/>
    </row>
    <row r="46" spans="1:6" ht="19.5" customHeight="1" x14ac:dyDescent="0.3">
      <c r="A46" s="11" t="s">
        <v>389</v>
      </c>
      <c r="B46" s="11"/>
      <c r="C46" s="11"/>
      <c r="D46" s="11"/>
      <c r="E46" s="11"/>
      <c r="F46" s="11"/>
    </row>
    <row r="47" spans="1:6" ht="25.5" customHeight="1" x14ac:dyDescent="0.3">
      <c r="A47" s="23" t="s">
        <v>390</v>
      </c>
      <c r="B47" s="23" t="s">
        <v>391</v>
      </c>
      <c r="C47" s="23" t="s">
        <v>392</v>
      </c>
      <c r="D47" s="23" t="s">
        <v>393</v>
      </c>
      <c r="E47" s="23" t="s">
        <v>394</v>
      </c>
      <c r="F47" s="23" t="s">
        <v>395</v>
      </c>
    </row>
    <row r="48" spans="1:6" ht="33.75" customHeight="1" x14ac:dyDescent="0.3">
      <c r="A48" s="27"/>
      <c r="B48" s="27"/>
      <c r="C48" s="27"/>
      <c r="D48" s="27"/>
      <c r="E48" s="27"/>
      <c r="F48" s="27"/>
    </row>
    <row r="49" spans="1:6" ht="33.75" customHeight="1" x14ac:dyDescent="0.3">
      <c r="A49" s="27"/>
      <c r="B49" s="27"/>
      <c r="C49" s="27"/>
      <c r="D49" s="27"/>
      <c r="E49" s="27"/>
      <c r="F49" s="27"/>
    </row>
    <row r="50" spans="1:6" ht="33.75" customHeight="1" x14ac:dyDescent="0.3">
      <c r="A50" s="27"/>
      <c r="B50" s="27"/>
      <c r="C50" s="27"/>
      <c r="D50" s="27"/>
      <c r="E50" s="27"/>
      <c r="F50" s="27"/>
    </row>
    <row r="51" spans="1:6" ht="33.75" customHeight="1" x14ac:dyDescent="0.3">
      <c r="A51" s="27"/>
      <c r="B51" s="27"/>
      <c r="C51" s="27"/>
      <c r="D51" s="27"/>
      <c r="E51" s="27"/>
      <c r="F51" s="27"/>
    </row>
    <row r="52" spans="1:6" ht="33.75" customHeight="1" x14ac:dyDescent="0.3">
      <c r="A52" s="27"/>
      <c r="B52" s="27"/>
      <c r="C52" s="27"/>
      <c r="D52" s="27"/>
      <c r="E52" s="27"/>
      <c r="F52" s="27"/>
    </row>
    <row r="53" spans="1:6" ht="33.75" customHeight="1" x14ac:dyDescent="0.3">
      <c r="A53" s="27"/>
      <c r="B53" s="27"/>
      <c r="C53" s="27"/>
      <c r="D53" s="27"/>
      <c r="E53" s="27"/>
      <c r="F53" s="27"/>
    </row>
  </sheetData>
  <mergeCells count="37">
    <mergeCell ref="B43:C43"/>
    <mergeCell ref="E43:F43"/>
    <mergeCell ref="B44:C44"/>
    <mergeCell ref="E44:F44"/>
    <mergeCell ref="A46:F46"/>
    <mergeCell ref="B40:C40"/>
    <mergeCell ref="E40:F40"/>
    <mergeCell ref="B41:C41"/>
    <mergeCell ref="E41:F41"/>
    <mergeCell ref="B42:C42"/>
    <mergeCell ref="E42:F42"/>
    <mergeCell ref="A37:F37"/>
    <mergeCell ref="B38:C38"/>
    <mergeCell ref="E38:F38"/>
    <mergeCell ref="B39:C39"/>
    <mergeCell ref="E39:F39"/>
    <mergeCell ref="B13:C13"/>
    <mergeCell ref="E13:F13"/>
    <mergeCell ref="A14:F14"/>
    <mergeCell ref="A28:F28"/>
    <mergeCell ref="A29:F35"/>
    <mergeCell ref="B10:C10"/>
    <mergeCell ref="E10:F10"/>
    <mergeCell ref="B11:C11"/>
    <mergeCell ref="E11:F11"/>
    <mergeCell ref="A12:F12"/>
    <mergeCell ref="B6:C6"/>
    <mergeCell ref="E6:F6"/>
    <mergeCell ref="B7:C7"/>
    <mergeCell ref="A8:F8"/>
    <mergeCell ref="B9:C9"/>
    <mergeCell ref="E9:F9"/>
    <mergeCell ref="A1:F1"/>
    <mergeCell ref="A2:F2"/>
    <mergeCell ref="A4:F4"/>
    <mergeCell ref="B5:C5"/>
    <mergeCell ref="E5:F5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4" customWidth="1"/>
    <col min="4" max="4" width="26" customWidth="1"/>
    <col min="5" max="5" width="20" customWidth="1"/>
    <col min="6" max="6" width="6" customWidth="1"/>
  </cols>
  <sheetData>
    <row r="1" spans="1:6" ht="24" customHeight="1" x14ac:dyDescent="0.3">
      <c r="A1" s="2" t="s">
        <v>396</v>
      </c>
      <c r="B1" s="2"/>
      <c r="C1" s="2"/>
      <c r="D1" s="2"/>
      <c r="E1" s="2"/>
      <c r="F1" s="2"/>
    </row>
    <row r="2" spans="1:6" x14ac:dyDescent="0.3">
      <c r="A2" s="12" t="s">
        <v>397</v>
      </c>
      <c r="B2" s="12"/>
      <c r="C2" s="12"/>
      <c r="D2" s="12"/>
      <c r="E2" s="12"/>
      <c r="F2" s="12"/>
    </row>
    <row r="4" spans="1:6" ht="19.5" customHeight="1" x14ac:dyDescent="0.3">
      <c r="A4" s="11" t="s">
        <v>398</v>
      </c>
      <c r="B4" s="11"/>
      <c r="C4" s="11"/>
      <c r="D4" s="11"/>
      <c r="E4" s="11"/>
      <c r="F4" s="11"/>
    </row>
    <row r="5" spans="1:6" x14ac:dyDescent="0.3">
      <c r="A5" s="39" t="s">
        <v>399</v>
      </c>
      <c r="B5" s="40" t="s">
        <v>329</v>
      </c>
      <c r="D5" s="39" t="s">
        <v>400</v>
      </c>
      <c r="E5" s="40" t="s">
        <v>401</v>
      </c>
    </row>
    <row r="6" spans="1:6" x14ac:dyDescent="0.3">
      <c r="A6" s="39" t="s">
        <v>402</v>
      </c>
      <c r="B6" s="40" t="s">
        <v>237</v>
      </c>
      <c r="D6" s="39" t="s">
        <v>205</v>
      </c>
      <c r="E6" s="40" t="s">
        <v>403</v>
      </c>
    </row>
    <row r="7" spans="1:6" x14ac:dyDescent="0.3">
      <c r="A7" s="39" t="s">
        <v>404</v>
      </c>
      <c r="B7" s="40" t="s">
        <v>405</v>
      </c>
      <c r="D7" s="39" t="s">
        <v>406</v>
      </c>
      <c r="E7" s="40" t="s">
        <v>325</v>
      </c>
    </row>
    <row r="8" spans="1:6" x14ac:dyDescent="0.3">
      <c r="A8" s="39" t="s">
        <v>407</v>
      </c>
      <c r="B8" s="40" t="s">
        <v>159</v>
      </c>
      <c r="D8" s="39" t="s">
        <v>408</v>
      </c>
      <c r="E8" s="40" t="s">
        <v>409</v>
      </c>
    </row>
    <row r="10" spans="1:6" ht="19.5" customHeight="1" x14ac:dyDescent="0.3">
      <c r="A10" s="11" t="s">
        <v>410</v>
      </c>
      <c r="B10" s="11"/>
      <c r="C10" s="11"/>
      <c r="D10" s="11"/>
      <c r="E10" s="11"/>
      <c r="F10" s="11"/>
    </row>
    <row r="11" spans="1:6" x14ac:dyDescent="0.3">
      <c r="A11" s="39" t="s">
        <v>411</v>
      </c>
      <c r="B11" s="41">
        <f>AVERAGE('Hoja 1 · Generalidad'!F6:F29)</f>
        <v>75</v>
      </c>
      <c r="D11" s="39" t="s">
        <v>412</v>
      </c>
      <c r="E11" s="42">
        <f>COUNTIF('Hoja 1 · Generalidad'!E6:E29,"Cumple")</f>
        <v>11</v>
      </c>
    </row>
    <row r="12" spans="1:6" x14ac:dyDescent="0.3">
      <c r="A12" s="39" t="s">
        <v>413</v>
      </c>
      <c r="B12" s="42">
        <f>COUNTIF('Hoja 1 · Generalidad'!E6:E29,"Parcial")</f>
        <v>10</v>
      </c>
      <c r="D12" s="39" t="s">
        <v>414</v>
      </c>
      <c r="E12" s="42">
        <f>COUNTIF('Hoja 1 · Generalidad'!E6:E29,"No cumple")</f>
        <v>3</v>
      </c>
    </row>
    <row r="14" spans="1:6" ht="19.5" customHeight="1" x14ac:dyDescent="0.3">
      <c r="A14" s="11" t="s">
        <v>415</v>
      </c>
      <c r="B14" s="11"/>
      <c r="C14" s="11"/>
      <c r="D14" s="11"/>
      <c r="E14" s="11"/>
      <c r="F14" s="11"/>
    </row>
    <row r="15" spans="1:6" x14ac:dyDescent="0.3">
      <c r="A15" s="39" t="s">
        <v>179</v>
      </c>
      <c r="B15" s="42">
        <f>'Hoja 1 · Generalidad'!D42</f>
        <v>189</v>
      </c>
      <c r="D15" s="39" t="s">
        <v>186</v>
      </c>
      <c r="E15" s="42">
        <f>'Hoja 1 · Generalidad'!D51</f>
        <v>69</v>
      </c>
    </row>
    <row r="16" spans="1:6" x14ac:dyDescent="0.3">
      <c r="A16" s="39" t="s">
        <v>190</v>
      </c>
      <c r="B16" s="42">
        <f>'Hoja 1 · Generalidad'!D56</f>
        <v>5</v>
      </c>
      <c r="D16" s="39" t="s">
        <v>191</v>
      </c>
      <c r="E16" s="42">
        <f>'Hoja 1 · Generalidad'!D57</f>
        <v>22</v>
      </c>
    </row>
  </sheetData>
  <mergeCells count="5">
    <mergeCell ref="A1:F1"/>
    <mergeCell ref="A2:F2"/>
    <mergeCell ref="A4:F4"/>
    <mergeCell ref="A10:F10"/>
    <mergeCell ref="A14:F1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0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4" customWidth="1"/>
    <col min="4" max="4" width="26" customWidth="1"/>
    <col min="5" max="5" width="20" customWidth="1"/>
    <col min="6" max="6" width="6" customWidth="1"/>
  </cols>
  <sheetData>
    <row r="1" spans="1:6" ht="24" customHeight="1" x14ac:dyDescent="0.3">
      <c r="A1" s="2" t="s">
        <v>416</v>
      </c>
      <c r="B1" s="2"/>
      <c r="C1" s="2"/>
      <c r="D1" s="2"/>
      <c r="E1" s="2"/>
      <c r="F1" s="2"/>
    </row>
    <row r="2" spans="1:6" x14ac:dyDescent="0.3">
      <c r="A2" s="12" t="s">
        <v>417</v>
      </c>
      <c r="B2" s="12"/>
      <c r="C2" s="12"/>
      <c r="D2" s="12"/>
      <c r="E2" s="12"/>
      <c r="F2" s="12"/>
    </row>
    <row r="4" spans="1:6" ht="19.5" customHeight="1" x14ac:dyDescent="0.3">
      <c r="A4" s="11" t="s">
        <v>398</v>
      </c>
      <c r="B4" s="11"/>
      <c r="C4" s="11"/>
      <c r="D4" s="11"/>
      <c r="E4" s="11"/>
      <c r="F4" s="11"/>
    </row>
    <row r="5" spans="1:6" x14ac:dyDescent="0.3">
      <c r="A5" s="39" t="s">
        <v>399</v>
      </c>
      <c r="B5" s="42" t="str">
        <f>'Reporte H1'!B5</f>
        <v>EMPRESA CLIENTE S.A.S.</v>
      </c>
      <c r="D5" s="39" t="s">
        <v>406</v>
      </c>
      <c r="E5" s="42" t="str">
        <f>'Reporte H1'!E7</f>
        <v>31/05/2025</v>
      </c>
    </row>
    <row r="7" spans="1:6" ht="19.5" customHeight="1" x14ac:dyDescent="0.3">
      <c r="A7" s="11" t="s">
        <v>418</v>
      </c>
      <c r="B7" s="11"/>
      <c r="C7" s="11"/>
      <c r="D7" s="11"/>
      <c r="E7" s="11"/>
      <c r="F7" s="11"/>
    </row>
    <row r="8" spans="1:6" x14ac:dyDescent="0.3">
      <c r="A8" s="39" t="s">
        <v>419</v>
      </c>
      <c r="B8" s="42">
        <f>COUNTA('Hoja 2 · Vehículos'!A6:A10)</f>
        <v>5</v>
      </c>
      <c r="D8" s="39" t="s">
        <v>420</v>
      </c>
      <c r="E8" s="42">
        <f ca="1">COUNTIF('Hoja 2 · Vehículos'!AG6:AG10,"Alerta")+COUNTIF('Hoja 2 · Vehículos'!AG6:AG10,"Vencido")</f>
        <v>3</v>
      </c>
    </row>
    <row r="9" spans="1:6" x14ac:dyDescent="0.3">
      <c r="A9" s="39" t="s">
        <v>421</v>
      </c>
      <c r="B9" s="42">
        <f ca="1">COUNTIFS('Hoja 2 · Vehículos'!K6:K10,"&gt;0",'Hoja 2 · Vehículos'!K6:K10,"&lt;=30")</f>
        <v>2</v>
      </c>
      <c r="D9" s="39" t="s">
        <v>422</v>
      </c>
      <c r="E9" s="42">
        <f ca="1">COUNTIFS('Hoja 2 · Vehículos'!M6:M10,"&gt;0",'Hoja 2 · Vehículos'!M6:M10,"&lt;=30")</f>
        <v>1</v>
      </c>
    </row>
    <row r="10" spans="1:6" x14ac:dyDescent="0.3">
      <c r="A10" s="39" t="s">
        <v>423</v>
      </c>
      <c r="B10" s="42">
        <f ca="1">COUNTIF('Hoja 2 · Vehículos'!K6:K10,"&lt;=0")+COUNTIF('Hoja 2 · Vehículos'!M6:M10,"&lt;=0")</f>
        <v>1</v>
      </c>
      <c r="D10" s="39" t="s">
        <v>424</v>
      </c>
      <c r="E10" s="42">
        <f>COUNTIF('Hoja 2 · Vehículos'!P6:P10,"&gt;0")</f>
        <v>2</v>
      </c>
    </row>
  </sheetData>
  <mergeCells count="4">
    <mergeCell ref="A1:F1"/>
    <mergeCell ref="A2:F2"/>
    <mergeCell ref="A4:F4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0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4" customWidth="1"/>
    <col min="4" max="4" width="26" customWidth="1"/>
    <col min="5" max="5" width="20" customWidth="1"/>
    <col min="6" max="6" width="6" customWidth="1"/>
  </cols>
  <sheetData>
    <row r="1" spans="1:6" ht="24" customHeight="1" x14ac:dyDescent="0.3">
      <c r="A1" s="2" t="s">
        <v>425</v>
      </c>
      <c r="B1" s="2"/>
      <c r="C1" s="2"/>
      <c r="D1" s="2"/>
      <c r="E1" s="2"/>
      <c r="F1" s="2"/>
    </row>
    <row r="2" spans="1:6" x14ac:dyDescent="0.3">
      <c r="A2" s="12" t="s">
        <v>426</v>
      </c>
      <c r="B2" s="12"/>
      <c r="C2" s="12"/>
      <c r="D2" s="12"/>
      <c r="E2" s="12"/>
      <c r="F2" s="12"/>
    </row>
    <row r="4" spans="1:6" ht="19.5" customHeight="1" x14ac:dyDescent="0.3">
      <c r="A4" s="11" t="s">
        <v>398</v>
      </c>
      <c r="B4" s="11"/>
      <c r="C4" s="11"/>
      <c r="D4" s="11"/>
      <c r="E4" s="11"/>
      <c r="F4" s="11"/>
    </row>
    <row r="5" spans="1:6" x14ac:dyDescent="0.3">
      <c r="A5" s="39" t="s">
        <v>399</v>
      </c>
      <c r="B5" s="42" t="str">
        <f>'Reporte H1'!B5</f>
        <v>EMPRESA CLIENTE S.A.S.</v>
      </c>
      <c r="D5" s="39" t="s">
        <v>406</v>
      </c>
      <c r="E5" s="42" t="str">
        <f>'Reporte H1'!E7</f>
        <v>31/05/2025</v>
      </c>
    </row>
    <row r="7" spans="1:6" ht="19.5" customHeight="1" x14ac:dyDescent="0.3">
      <c r="A7" s="11" t="s">
        <v>427</v>
      </c>
      <c r="B7" s="11"/>
      <c r="C7" s="11"/>
      <c r="D7" s="11"/>
      <c r="E7" s="11"/>
      <c r="F7" s="11"/>
    </row>
    <row r="8" spans="1:6" x14ac:dyDescent="0.3">
      <c r="A8" s="39" t="s">
        <v>428</v>
      </c>
      <c r="B8" s="42">
        <f>COUNTA('Hoja 3 · Personas'!A6:A10)</f>
        <v>5</v>
      </c>
      <c r="D8" s="39" t="s">
        <v>429</v>
      </c>
      <c r="E8" s="43">
        <f>COUNTIF('Hoja 3 · Personas'!AA6:AA10,"Aprobado")/COUNTA('Hoja 3 · Personas'!A6:A10)</f>
        <v>0.6</v>
      </c>
    </row>
    <row r="9" spans="1:6" x14ac:dyDescent="0.3">
      <c r="A9" s="39" t="s">
        <v>430</v>
      </c>
      <c r="B9" s="42">
        <f>ROUND(AVERAGE('Hoja 3 · Personas'!Z6:Z10),0)</f>
        <v>75</v>
      </c>
      <c r="D9" s="39" t="s">
        <v>431</v>
      </c>
      <c r="E9" s="42">
        <f>COUNTIF('Hoja 3 · Personas'!AA6:AA10,"No aprobado")</f>
        <v>2</v>
      </c>
    </row>
    <row r="10" spans="1:6" x14ac:dyDescent="0.3">
      <c r="A10" s="39" t="s">
        <v>432</v>
      </c>
      <c r="B10" s="42">
        <f ca="1">COUNTIFS('Hoja 3 · Personas'!J6:J10,"&gt;0",'Hoja 3 · Personas'!J6:J10,"&lt;=30")</f>
        <v>1</v>
      </c>
      <c r="D10" s="39" t="s">
        <v>433</v>
      </c>
      <c r="E10" s="42">
        <f ca="1">COUNTIF('Hoja 3 · Personas'!J6:J10,"&lt;=0")</f>
        <v>1</v>
      </c>
    </row>
  </sheetData>
  <mergeCells count="4">
    <mergeCell ref="A1:F1"/>
    <mergeCell ref="A2:F2"/>
    <mergeCell ref="A4:F4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9"/>
  <sheetViews>
    <sheetView showGridLines="0" zoomScaleNormal="100" workbookViewId="0">
      <selection sqref="A1:F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4" customWidth="1"/>
    <col min="4" max="4" width="26" customWidth="1"/>
    <col min="5" max="5" width="20" customWidth="1"/>
    <col min="6" max="6" width="6" customWidth="1"/>
  </cols>
  <sheetData>
    <row r="1" spans="1:6" ht="24" customHeight="1" x14ac:dyDescent="0.3">
      <c r="A1" s="2" t="s">
        <v>434</v>
      </c>
      <c r="B1" s="2"/>
      <c r="C1" s="2"/>
      <c r="D1" s="2"/>
      <c r="E1" s="2"/>
      <c r="F1" s="2"/>
    </row>
    <row r="2" spans="1:6" x14ac:dyDescent="0.3">
      <c r="A2" s="12" t="s">
        <v>435</v>
      </c>
      <c r="B2" s="12"/>
      <c r="C2" s="12"/>
      <c r="D2" s="12"/>
      <c r="E2" s="12"/>
      <c r="F2" s="12"/>
    </row>
    <row r="4" spans="1:6" ht="19.5" customHeight="1" x14ac:dyDescent="0.3">
      <c r="A4" s="11" t="s">
        <v>398</v>
      </c>
      <c r="B4" s="11"/>
      <c r="C4" s="11"/>
      <c r="D4" s="11"/>
      <c r="E4" s="11"/>
      <c r="F4" s="11"/>
    </row>
    <row r="5" spans="1:6" x14ac:dyDescent="0.3">
      <c r="A5" s="39" t="s">
        <v>399</v>
      </c>
      <c r="B5" s="42" t="str">
        <f>'Reporte H1'!B5</f>
        <v>EMPRESA CLIENTE S.A.S.</v>
      </c>
      <c r="D5" s="39" t="s">
        <v>406</v>
      </c>
      <c r="E5" s="42" t="str">
        <f>'Reporte H1'!E7</f>
        <v>31/05/2025</v>
      </c>
    </row>
    <row r="7" spans="1:6" ht="19.5" customHeight="1" x14ac:dyDescent="0.3">
      <c r="A7" s="11" t="s">
        <v>436</v>
      </c>
      <c r="B7" s="11"/>
      <c r="C7" s="11"/>
      <c r="D7" s="11"/>
      <c r="E7" s="11"/>
      <c r="F7" s="11"/>
    </row>
    <row r="8" spans="1:6" x14ac:dyDescent="0.3">
      <c r="A8" s="39" t="s">
        <v>437</v>
      </c>
      <c r="B8" s="42" t="str">
        <f>'Hoja 4 · Rutograma'!E6</f>
        <v>R-01</v>
      </c>
      <c r="D8" s="39" t="s">
        <v>438</v>
      </c>
      <c r="E8" s="42" t="s">
        <v>439</v>
      </c>
    </row>
    <row r="9" spans="1:6" x14ac:dyDescent="0.3">
      <c r="A9" s="39" t="s">
        <v>440</v>
      </c>
      <c r="B9" s="42" t="s">
        <v>441</v>
      </c>
      <c r="D9" s="39" t="s">
        <v>442</v>
      </c>
      <c r="E9" s="42" t="s">
        <v>441</v>
      </c>
    </row>
  </sheetData>
  <mergeCells count="4">
    <mergeCell ref="A1:F1"/>
    <mergeCell ref="A2:F2"/>
    <mergeCell ref="A4:F4"/>
    <mergeCell ref="A7:F7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showGridLines="0" tabSelected="1" zoomScaleNormal="100" workbookViewId="0">
      <selection sqref="A1:F1"/>
    </sheetView>
  </sheetViews>
  <sheetFormatPr baseColWidth="10" defaultColWidth="8.6640625" defaultRowHeight="14.4" x14ac:dyDescent="0.3"/>
  <cols>
    <col min="1" max="1" width="28" customWidth="1"/>
    <col min="2" max="2" width="20" customWidth="1"/>
    <col min="3" max="3" width="4" customWidth="1"/>
    <col min="4" max="4" width="26" customWidth="1"/>
    <col min="5" max="5" width="20" customWidth="1"/>
    <col min="6" max="6" width="6" customWidth="1"/>
  </cols>
  <sheetData>
    <row r="1" spans="1:6" ht="24" customHeight="1" x14ac:dyDescent="0.3">
      <c r="A1" s="2" t="s">
        <v>443</v>
      </c>
      <c r="B1" s="2"/>
      <c r="C1" s="2"/>
      <c r="D1" s="2"/>
      <c r="E1" s="2"/>
      <c r="F1" s="2"/>
    </row>
    <row r="2" spans="1:6" x14ac:dyDescent="0.3">
      <c r="A2" s="12" t="s">
        <v>444</v>
      </c>
      <c r="B2" s="12"/>
      <c r="C2" s="12"/>
      <c r="D2" s="12"/>
      <c r="E2" s="12"/>
      <c r="F2" s="12"/>
    </row>
    <row r="4" spans="1:6" ht="19.5" customHeight="1" x14ac:dyDescent="0.3">
      <c r="A4" s="11" t="s">
        <v>445</v>
      </c>
      <c r="B4" s="11"/>
      <c r="C4" s="11"/>
      <c r="D4" s="11"/>
      <c r="E4" s="11"/>
      <c r="F4" s="11"/>
    </row>
    <row r="5" spans="1:6" x14ac:dyDescent="0.3">
      <c r="A5" s="39" t="s">
        <v>446</v>
      </c>
      <c r="B5" s="42">
        <f ca="1">COUNTIF('Hoja 2 · Vehículos'!AG6:AG10,"Vencido")</f>
        <v>1</v>
      </c>
      <c r="D5" s="39" t="s">
        <v>447</v>
      </c>
      <c r="E5" s="42">
        <f ca="1">COUNTIF('Hoja 2 · Vehículos'!AG6:AG10,"Alerta")</f>
        <v>2</v>
      </c>
    </row>
    <row r="6" spans="1:6" x14ac:dyDescent="0.3">
      <c r="A6" s="39" t="s">
        <v>448</v>
      </c>
      <c r="B6" s="42">
        <f ca="1">COUNTIFS('Hoja 2 · Vehículos'!K6:K10,"&gt;0",'Hoja 2 · Vehículos'!K6:K10,"&lt;=30")+COUNTIFS('Hoja 2 · Vehículos'!M6:M10,"&gt;0",'Hoja 2 · Vehículos'!M6:M10,"&lt;=30")</f>
        <v>3</v>
      </c>
      <c r="D6" s="39" t="s">
        <v>424</v>
      </c>
      <c r="E6" s="42">
        <f>COUNTIF('Hoja 2 · Vehículos'!P6:P10,"&gt;0")</f>
        <v>2</v>
      </c>
    </row>
    <row r="8" spans="1:6" ht="19.5" customHeight="1" x14ac:dyDescent="0.3">
      <c r="A8" s="11" t="s">
        <v>449</v>
      </c>
      <c r="B8" s="11"/>
      <c r="C8" s="11"/>
      <c r="D8" s="11"/>
      <c r="E8" s="11"/>
      <c r="F8" s="11"/>
    </row>
    <row r="9" spans="1:6" x14ac:dyDescent="0.3">
      <c r="A9" s="39" t="s">
        <v>433</v>
      </c>
      <c r="B9" s="42">
        <f ca="1">COUNTIF('Hoja 3 · Personas'!J6:J10,"&lt;=0")</f>
        <v>1</v>
      </c>
      <c r="D9" s="39" t="s">
        <v>432</v>
      </c>
      <c r="E9" s="42">
        <f ca="1">COUNTIFS('Hoja 3 · Personas'!J6:J10,"&gt;0",'Hoja 3 · Personas'!J6:J10,"&lt;=30")</f>
        <v>1</v>
      </c>
    </row>
    <row r="10" spans="1:6" x14ac:dyDescent="0.3">
      <c r="A10" s="39" t="s">
        <v>450</v>
      </c>
      <c r="B10" s="42">
        <f>COUNTIF('Hoja 3 · Personas'!AA6:AA10,"No aprobado")</f>
        <v>2</v>
      </c>
      <c r="D10" s="39" t="s">
        <v>451</v>
      </c>
      <c r="E10" s="42">
        <f ca="1">COUNTIF('Hoja 3 · Personas'!AB6:AB10,"Alerta")+COUNTIF('Hoja 3 · Personas'!AB6:AB10,"Licencia vencida")</f>
        <v>3</v>
      </c>
    </row>
    <row r="12" spans="1:6" ht="15" customHeight="1" x14ac:dyDescent="0.3">
      <c r="A12" s="1" t="s">
        <v>452</v>
      </c>
      <c r="B12" s="1"/>
      <c r="C12" s="1"/>
      <c r="D12" s="1"/>
      <c r="E12" s="1"/>
      <c r="F12" s="1"/>
    </row>
    <row r="13" spans="1:6" x14ac:dyDescent="0.3">
      <c r="A13" s="1"/>
      <c r="B13" s="1"/>
      <c r="C13" s="1"/>
      <c r="D13" s="1"/>
      <c r="E13" s="1"/>
      <c r="F13" s="1"/>
    </row>
  </sheetData>
  <mergeCells count="5">
    <mergeCell ref="A1:F1"/>
    <mergeCell ref="A2:F2"/>
    <mergeCell ref="A4:F4"/>
    <mergeCell ref="A8:F8"/>
    <mergeCell ref="A12:F13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8"/>
  <sheetViews>
    <sheetView showGridLines="0" zoomScaleNormal="100" workbookViewId="0"/>
  </sheetViews>
  <sheetFormatPr baseColWidth="10" defaultColWidth="8.6640625" defaultRowHeight="14.4" x14ac:dyDescent="0.3"/>
  <cols>
    <col min="1" max="1" width="118" customWidth="1"/>
  </cols>
  <sheetData>
    <row r="1" spans="1:1" ht="16.8" x14ac:dyDescent="0.3">
      <c r="A1" s="44" t="s">
        <v>453</v>
      </c>
    </row>
    <row r="2" spans="1:1" x14ac:dyDescent="0.3">
      <c r="A2" s="45"/>
    </row>
    <row r="3" spans="1:1" x14ac:dyDescent="0.3">
      <c r="A3" s="46" t="s">
        <v>454</v>
      </c>
    </row>
    <row r="4" spans="1:1" x14ac:dyDescent="0.3">
      <c r="A4" s="45" t="s">
        <v>455</v>
      </c>
    </row>
    <row r="5" spans="1:1" x14ac:dyDescent="0.3">
      <c r="A5" s="45" t="s">
        <v>456</v>
      </c>
    </row>
    <row r="6" spans="1:1" ht="26.4" x14ac:dyDescent="0.3">
      <c r="A6" s="45" t="s">
        <v>457</v>
      </c>
    </row>
    <row r="7" spans="1:1" x14ac:dyDescent="0.3">
      <c r="A7" s="45" t="s">
        <v>458</v>
      </c>
    </row>
    <row r="8" spans="1:1" x14ac:dyDescent="0.3">
      <c r="A8" s="45" t="s">
        <v>459</v>
      </c>
    </row>
    <row r="9" spans="1:1" x14ac:dyDescent="0.3">
      <c r="A9" s="45" t="s">
        <v>460</v>
      </c>
    </row>
    <row r="10" spans="1:1" x14ac:dyDescent="0.3">
      <c r="A10" s="45"/>
    </row>
    <row r="11" spans="1:1" x14ac:dyDescent="0.3">
      <c r="A11" s="46" t="s">
        <v>461</v>
      </c>
    </row>
    <row r="12" spans="1:1" x14ac:dyDescent="0.3">
      <c r="A12" s="45" t="s">
        <v>462</v>
      </c>
    </row>
    <row r="13" spans="1:1" ht="26.4" x14ac:dyDescent="0.3">
      <c r="A13" s="45" t="s">
        <v>463</v>
      </c>
    </row>
    <row r="14" spans="1:1" x14ac:dyDescent="0.3">
      <c r="A14" s="45" t="s">
        <v>464</v>
      </c>
    </row>
    <row r="15" spans="1:1" x14ac:dyDescent="0.3">
      <c r="A15" s="45"/>
    </row>
    <row r="16" spans="1:1" x14ac:dyDescent="0.3">
      <c r="A16" s="46" t="s">
        <v>465</v>
      </c>
    </row>
    <row r="17" spans="1:1" x14ac:dyDescent="0.3">
      <c r="A17" s="45" t="s">
        <v>466</v>
      </c>
    </row>
    <row r="18" spans="1:1" x14ac:dyDescent="0.3">
      <c r="A18" s="45" t="s">
        <v>467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Diccionario</vt:lpstr>
      <vt:lpstr>Hoja 1 · Generalidad</vt:lpstr>
      <vt:lpstr>Hoja 2 · Vehículos</vt:lpstr>
      <vt:lpstr>Hoja 3 · Personas</vt:lpstr>
      <vt:lpstr>Hoja 4 · Rutograma</vt:lpstr>
      <vt:lpstr>Reporte H1</vt:lpstr>
      <vt:lpstr>Reporte H2</vt:lpstr>
      <vt:lpstr>Reporte H3</vt:lpstr>
      <vt:lpstr>Reporte H4</vt:lpstr>
      <vt:lpstr>Panel de alertas</vt:lpstr>
      <vt:lpstr>Leyenda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Roger Mauricio Pérez Cruz</cp:lastModifiedBy>
  <cp:revision>0</cp:revision>
  <dcterms:created xsi:type="dcterms:W3CDTF">2026-08-01T18:13:05Z</dcterms:created>
  <dcterms:modified xsi:type="dcterms:W3CDTF">2026-08-01T18:14:39Z</dcterms:modified>
  <dc:language>en-US</dc:language>
</cp:coreProperties>
</file>