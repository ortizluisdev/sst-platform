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mau\Downloads\"/>
    </mc:Choice>
  </mc:AlternateContent>
  <xr:revisionPtr revIDLastSave="0" documentId="8_{4ABD6236-0D10-4E42-97F3-28D4BC15FC9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ja 1 · Dashboard" sheetId="1" r:id="rId1"/>
    <sheet name="Hoja 2 · Detalle técnico" sheetId="2" r:id="rId2"/>
    <sheet name="Hoja 3 · Análisis" sheetId="3" r:id="rId3"/>
    <sheet name="Reporte Hoja 1" sheetId="4" r:id="rId4"/>
    <sheet name="Reporte Hoja 2" sheetId="5" r:id="rId5"/>
    <sheet name="Leyenda y notas" sheetId="6" r:id="rId6"/>
  </sheets>
  <definedNames>
    <definedName name="_xlnm._FilterDatabase" localSheetId="0" hidden="1">'Hoja 1 · Dashboard'!$A$4:$F$15</definedName>
    <definedName name="_xlnm._FilterDatabase" localSheetId="1" hidden="1">'Hoja 2 · Detalle técnico'!$A$4:$F$47</definedName>
    <definedName name="_xlnm._FilterDatabase" localSheetId="2" hidden="1">'Hoja 3 · Análisis'!$A$4:$F$16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7" i="5" l="1"/>
  <c r="B7" i="5"/>
  <c r="E6" i="5"/>
  <c r="B6" i="5"/>
  <c r="E5" i="5"/>
  <c r="B5" i="5"/>
  <c r="A1" i="5"/>
  <c r="B39" i="4"/>
  <c r="B38" i="4"/>
  <c r="G23" i="4"/>
  <c r="G22" i="4"/>
  <c r="G21" i="4"/>
  <c r="G20" i="4"/>
  <c r="G19" i="4"/>
  <c r="A1" i="4"/>
</calcChain>
</file>

<file path=xl/sharedStrings.xml><?xml version="1.0" encoding="utf-8"?>
<sst xmlns="http://schemas.openxmlformats.org/spreadsheetml/2006/main" count="858" uniqueCount="329">
  <si>
    <t>Hoja 1 · Dashboard — resumen</t>
  </si>
  <si>
    <t>Indicadores globales y valor de cabecera por agente.</t>
  </si>
  <si>
    <t>Categoría</t>
  </si>
  <si>
    <t>Nombre de la variable</t>
  </si>
  <si>
    <t>Magnitud (símbolo)</t>
  </si>
  <si>
    <t>Unidad</t>
  </si>
  <si>
    <t>Tipo de dato</t>
  </si>
  <si>
    <t>Norma / criterio</t>
  </si>
  <si>
    <t>Indicadores globales</t>
  </si>
  <si>
    <t>Total de mediciones</t>
  </si>
  <si>
    <t>N</t>
  </si>
  <si>
    <t>conteo</t>
  </si>
  <si>
    <t>Cálculo</t>
  </si>
  <si>
    <t>—</t>
  </si>
  <si>
    <t>Mediciones que cumplen norma</t>
  </si>
  <si>
    <t>n_cumple</t>
  </si>
  <si>
    <t>Mediciones que no cumplen norma</t>
  </si>
  <si>
    <t>n_no_cumple</t>
  </si>
  <si>
    <t>Cumplimiento global</t>
  </si>
  <si>
    <t>%C</t>
  </si>
  <si>
    <t>%</t>
  </si>
  <si>
    <t>Riesgo global promedio</t>
  </si>
  <si>
    <t>R</t>
  </si>
  <si>
    <t>nivel (bajo/medio/alto)</t>
  </si>
  <si>
    <t>Alertas activas</t>
  </si>
  <si>
    <t>N_alertas</t>
  </si>
  <si>
    <t>Iluminación</t>
  </si>
  <si>
    <t>Iluminancia media (tarjeta)</t>
  </si>
  <si>
    <t>Ē</t>
  </si>
  <si>
    <t>lux</t>
  </si>
  <si>
    <t>Medición</t>
  </si>
  <si>
    <t>≥ 500 lux</t>
  </si>
  <si>
    <t>Sonido</t>
  </si>
  <si>
    <t>Nivel sonoro (LAeq / LEX,8h)</t>
  </si>
  <si>
    <t>LEX,8h</t>
  </si>
  <si>
    <t>dB(A)</t>
  </si>
  <si>
    <t>≤ 85 dB(A)</t>
  </si>
  <si>
    <t>Estrés térmico</t>
  </si>
  <si>
    <t>Índice WBGT</t>
  </si>
  <si>
    <t>WBGT</t>
  </si>
  <si>
    <t>°C</t>
  </si>
  <si>
    <t>≤ 28 °C</t>
  </si>
  <si>
    <t>Radiación UV</t>
  </si>
  <si>
    <t>Índice UV</t>
  </si>
  <si>
    <t>IUV</t>
  </si>
  <si>
    <t>adimensional</t>
  </si>
  <si>
    <t>≤ 3.0</t>
  </si>
  <si>
    <t>Vibración</t>
  </si>
  <si>
    <t>Aceleración mano-brazo</t>
  </si>
  <si>
    <t>ahv</t>
  </si>
  <si>
    <t>m/s²</t>
  </si>
  <si>
    <t>≤ 2.5 m/s²</t>
  </si>
  <si>
    <t>Hoja 2 · Detalle técnico por variable</t>
  </si>
  <si>
    <t>Todas las sub-mediciones y variables derivadas por agente.</t>
  </si>
  <si>
    <t>Iluminancia horizontal media</t>
  </si>
  <si>
    <t>ISO 8995-1 · ≥ 500 lux</t>
  </si>
  <si>
    <t>Iluminancia horizontal (por punto)</t>
  </si>
  <si>
    <t>E</t>
  </si>
  <si>
    <t>Iluminancia vertical (por altura)</t>
  </si>
  <si>
    <t>Ev</t>
  </si>
  <si>
    <t>Iluminancia cilíndrica</t>
  </si>
  <si>
    <t>Ez</t>
  </si>
  <si>
    <t>Uniformidad</t>
  </si>
  <si>
    <t>U0</t>
  </si>
  <si>
    <t>≥ 0.60</t>
  </si>
  <si>
    <t>Reflectancia (piso / pared / techo)</t>
  </si>
  <si>
    <t>ρ</t>
  </si>
  <si>
    <t>adimensional (0–1)</t>
  </si>
  <si>
    <t>Luminancia</t>
  </si>
  <si>
    <t>L</t>
  </si>
  <si>
    <t>cd/m²</t>
  </si>
  <si>
    <t>Deslumbramiento unificado</t>
  </si>
  <si>
    <t>UGR</t>
  </si>
  <si>
    <t>≤ 22</t>
  </si>
  <si>
    <t>Índice del local</t>
  </si>
  <si>
    <t>k</t>
  </si>
  <si>
    <t>Medición/Cálculo</t>
  </si>
  <si>
    <t>Factor de luz día</t>
  </si>
  <si>
    <t>FLD</t>
  </si>
  <si>
    <t>Nivel de presión sonora</t>
  </si>
  <si>
    <t>Lp</t>
  </si>
  <si>
    <t>dB</t>
  </si>
  <si>
    <t>Nivel continuo equivalente (A)</t>
  </si>
  <si>
    <t>LAeq</t>
  </si>
  <si>
    <t>Nivel pico (C)</t>
  </si>
  <si>
    <t>LC,pico</t>
  </si>
  <si>
    <t>dB(C)</t>
  </si>
  <si>
    <t>≤ 140 dB(C)</t>
  </si>
  <si>
    <t>Nivel de exposición diaria</t>
  </si>
  <si>
    <t>Dosis de ruido</t>
  </si>
  <si>
    <t>D</t>
  </si>
  <si>
    <t>≤ 100 %</t>
  </si>
  <si>
    <t>Percentiles estadísticos</t>
  </si>
  <si>
    <t>L10 / L50 / L90</t>
  </si>
  <si>
    <t>Análisis en bandas de octava</t>
  </si>
  <si>
    <t>Lf</t>
  </si>
  <si>
    <t>dB (por banda)</t>
  </si>
  <si>
    <t>31.5 Hz – 8 kHz</t>
  </si>
  <si>
    <t>Atenuación de protector auditivo</t>
  </si>
  <si>
    <t>SNR / H,M,L</t>
  </si>
  <si>
    <t>ISO 4869</t>
  </si>
  <si>
    <t>Tiempo de exposición</t>
  </si>
  <si>
    <t>t</t>
  </si>
  <si>
    <t>h</t>
  </si>
  <si>
    <t>Inspección</t>
  </si>
  <si>
    <t>≤ 8 h</t>
  </si>
  <si>
    <t>Temperatura del aire (bulbo seco)</t>
  </si>
  <si>
    <t>Ta</t>
  </si>
  <si>
    <t>Temperatura de globo</t>
  </si>
  <si>
    <t>Tg</t>
  </si>
  <si>
    <t>Temperatura de bulbo húmedo natural</t>
  </si>
  <si>
    <t>Tnw</t>
  </si>
  <si>
    <t>Temperatura radiante media</t>
  </si>
  <si>
    <t>Tr</t>
  </si>
  <si>
    <t>Humedad relativa</t>
  </si>
  <si>
    <t>HR</t>
  </si>
  <si>
    <t>30 – 70 %</t>
  </si>
  <si>
    <t>Velocidad del aire</t>
  </si>
  <si>
    <t>Va</t>
  </si>
  <si>
    <t>m/s</t>
  </si>
  <si>
    <t>ISO 7243 · ≤ 28 °C</t>
  </si>
  <si>
    <t>Voto medio previsto</t>
  </si>
  <si>
    <t>PMV</t>
  </si>
  <si>
    <t>−0.5 a +0.5</t>
  </si>
  <si>
    <t>Porcentaje previsto de insatisfechos</t>
  </si>
  <si>
    <t>PPD</t>
  </si>
  <si>
    <t>≤ 10 %</t>
  </si>
  <si>
    <t>Tasa metabólica</t>
  </si>
  <si>
    <t>M</t>
  </si>
  <si>
    <t>W/m² (met)</t>
  </si>
  <si>
    <t>ISO 8996</t>
  </si>
  <si>
    <t>Aislamiento de vestimenta</t>
  </si>
  <si>
    <t>Icl</t>
  </si>
  <si>
    <t>clo</t>
  </si>
  <si>
    <t>ISO 9920</t>
  </si>
  <si>
    <t>Régimen trabajo / descanso</t>
  </si>
  <si>
    <t>min/min</t>
  </si>
  <si>
    <t>ISO 7243</t>
  </si>
  <si>
    <t>Irradiancia efectiva</t>
  </si>
  <si>
    <t>Eeff</t>
  </si>
  <si>
    <t>W/m²</t>
  </si>
  <si>
    <t>Exposición radiante efectiva</t>
  </si>
  <si>
    <t>Heff</t>
  </si>
  <si>
    <t>J/m²</t>
  </si>
  <si>
    <t>≤ 30 J/m² (ICNIRP)</t>
  </si>
  <si>
    <t>Irradiancia por banda (UV-A/B/C)</t>
  </si>
  <si>
    <t>Eλ</t>
  </si>
  <si>
    <t>Tiempo máximo de exposición</t>
  </si>
  <si>
    <t>tmax</t>
  </si>
  <si>
    <t>Aceleración ponderada mano-brazo</t>
  </si>
  <si>
    <t>Exposición diaria mano-brazo</t>
  </si>
  <si>
    <t>A(8) HAV</t>
  </si>
  <si>
    <t>ISO 5349 · ≤ 5 m/s²</t>
  </si>
  <si>
    <t>Aceleración ponderada cuerpo entero</t>
  </si>
  <si>
    <t>aw</t>
  </si>
  <si>
    <t>Exposición diaria cuerpo entero</t>
  </si>
  <si>
    <t>A(8) WBV</t>
  </si>
  <si>
    <t>ISO 2631 · ≤ 1.15 m/s²</t>
  </si>
  <si>
    <t>Valor de dosis de vibración</t>
  </si>
  <si>
    <t>VDV</t>
  </si>
  <si>
    <t>m/s^1.75</t>
  </si>
  <si>
    <t>≤ 21 m/s^1.75</t>
  </si>
  <si>
    <t>Frecuencia dominante</t>
  </si>
  <si>
    <t>f</t>
  </si>
  <si>
    <t>Hz</t>
  </si>
  <si>
    <t>Hoja 3 · Análisis</t>
  </si>
  <si>
    <t>Índices y variables derivadas del análisis de riesgo.</t>
  </si>
  <si>
    <t>Análisis</t>
  </si>
  <si>
    <t>Índice global de higiene</t>
  </si>
  <si>
    <t>IGHO</t>
  </si>
  <si>
    <t>puntos (0–100)</t>
  </si>
  <si>
    <t>Variables en incumplimiento</t>
  </si>
  <si>
    <t>n_nc</t>
  </si>
  <si>
    <t>Tendencia global</t>
  </si>
  <si>
    <t>ΔG</t>
  </si>
  <si>
    <t>% vs. periodo anterior</t>
  </si>
  <si>
    <t>Mediciones realizadas</t>
  </si>
  <si>
    <t>Probabilidad de incumplimiento (30 días)</t>
  </si>
  <si>
    <t>P</t>
  </si>
  <si>
    <t>Riesgo asociado a efectos en salud</t>
  </si>
  <si>
    <t>nivel (alto/medio/bajo)</t>
  </si>
  <si>
    <t>Cálculo/Inspección</t>
  </si>
  <si>
    <t>Puntaje de intervención (impacto × exposición)</t>
  </si>
  <si>
    <t>PI</t>
  </si>
  <si>
    <t>puntos</t>
  </si>
  <si>
    <t>Nivel de prioridad de intervención</t>
  </si>
  <si>
    <t>Alta / Media / Baja</t>
  </si>
  <si>
    <t>Posición en matriz riesgo × cumplimiento</t>
  </si>
  <si>
    <t>celda de matriz</t>
  </si>
  <si>
    <t>Tendencia histórica por variable (6 meses)</t>
  </si>
  <si>
    <t>unidad de cada variable</t>
  </si>
  <si>
    <t>Evolución del IGHO (6 meses)</t>
  </si>
  <si>
    <t>IGHO(t)</t>
  </si>
  <si>
    <t>Mediciones higiénicas · Reporte básico (Hoja 1) · RoMa Applied Science</t>
  </si>
  <si>
    <t>Datos del cliente</t>
  </si>
  <si>
    <t>Empresa / Razón social</t>
  </si>
  <si>
    <t>SAFEHAND S.A.S.</t>
  </si>
  <si>
    <t>NIT</t>
  </si>
  <si>
    <t>900.123.456-7</t>
  </si>
  <si>
    <t>Dirección</t>
  </si>
  <si>
    <t>Calle 25 # 30-45</t>
  </si>
  <si>
    <t>Ciudad</t>
  </si>
  <si>
    <t>Bogotá D.C.</t>
  </si>
  <si>
    <t>Contacto / representante</t>
  </si>
  <si>
    <t>Ing. Laura Gómez</t>
  </si>
  <si>
    <t>Cargo</t>
  </si>
  <si>
    <t>Jefe de SST</t>
  </si>
  <si>
    <t>Sede</t>
  </si>
  <si>
    <t>Planta principal</t>
  </si>
  <si>
    <t>Área</t>
  </si>
  <si>
    <t>Mantenimiento</t>
  </si>
  <si>
    <t>Periodo de evaluación</t>
  </si>
  <si>
    <t>01/05/2025 – 31/05/2025</t>
  </si>
  <si>
    <t>Fecha</t>
  </si>
  <si>
    <t>31/05/2025</t>
  </si>
  <si>
    <t>Elaborado por</t>
  </si>
  <si>
    <t>Roger Pérez / SG-SST</t>
  </si>
  <si>
    <t>N° informe</t>
  </si>
  <si>
    <t>RM-2025-05-01</t>
  </si>
  <si>
    <t>Resumen ejecutivo</t>
  </si>
  <si>
    <t>Índice global de higiene (IGHO)</t>
  </si>
  <si>
    <t>84 /100</t>
  </si>
  <si>
    <t>Cumplimiento</t>
  </si>
  <si>
    <t>82%</t>
  </si>
  <si>
    <t>Nivel de riesgo global</t>
  </si>
  <si>
    <t>Medio</t>
  </si>
  <si>
    <t>No conf.</t>
  </si>
  <si>
    <t>3</t>
  </si>
  <si>
    <t>248</t>
  </si>
  <si>
    <t>Puestos</t>
  </si>
  <si>
    <t>18</t>
  </si>
  <si>
    <t>Resultados por agente vs. norma</t>
  </si>
  <si>
    <t>Agente</t>
  </si>
  <si>
    <t>Variable clave (unidad)</t>
  </si>
  <si>
    <t>Resultado</t>
  </si>
  <si>
    <t>Límite</t>
  </si>
  <si>
    <t>Sentido</t>
  </si>
  <si>
    <t>Estado</t>
  </si>
  <si>
    <t>Iluminancia media (lux)</t>
  </si>
  <si>
    <t>min</t>
  </si>
  <si>
    <t>Nivel sonoro LEX,8h (dB(A))</t>
  </si>
  <si>
    <t>max</t>
  </si>
  <si>
    <t>WBGT (°C)</t>
  </si>
  <si>
    <t>Aceleración mano-brazo (m/s²)</t>
  </si>
  <si>
    <t>Hallazgos / no conformidades principales</t>
  </si>
  <si>
    <t>Prioridad</t>
  </si>
  <si>
    <t>Descripción</t>
  </si>
  <si>
    <t>Variable</t>
  </si>
  <si>
    <t>Alta</t>
  </si>
  <si>
    <t>WBGT sobre el límite en producción</t>
  </si>
  <si>
    <t>Abierta</t>
  </si>
  <si>
    <t>Iluminancia bajo el mínimo en empaque</t>
  </si>
  <si>
    <t>Media</t>
  </si>
  <si>
    <t>Picos de ruido cerca del límite en mantenimiento</t>
  </si>
  <si>
    <t>En seguimiento</t>
  </si>
  <si>
    <t>Recomendaciones principales</t>
  </si>
  <si>
    <t>Recomendación</t>
  </si>
  <si>
    <t>Impacto</t>
  </si>
  <si>
    <t>Pausas trabajo/descanso y ventilación por carga térmica</t>
  </si>
  <si>
    <t>Alto</t>
  </si>
  <si>
    <t>Aislamiento de fuente y mantenimiento de equipos ruidosos</t>
  </si>
  <si>
    <t>Redistribuir luminarias y mejorar reflectancia de paredes</t>
  </si>
  <si>
    <t>Responsable</t>
  </si>
  <si>
    <t>Elaborado por:</t>
  </si>
  <si>
    <t>Fecha de emisión:</t>
  </si>
  <si>
    <t>____________________________</t>
  </si>
  <si>
    <t>Firma y sello</t>
  </si>
  <si>
    <t>Nota: celdas amarillas = editables. El estado (Cumple / No cumple) se calcula solo al comparar el resultado con el límite.</t>
  </si>
  <si>
    <t>Mediciones higiénicas · Reporte avanzado (Hoja 2) · variables técnicas por agente</t>
  </si>
  <si>
    <t>Datos del cliente (tomados del Reporte Hoja 1)</t>
  </si>
  <si>
    <t>Empresa</t>
  </si>
  <si>
    <t>Periodo</t>
  </si>
  <si>
    <t>Símbolo</t>
  </si>
  <si>
    <t>Referencia / norma</t>
  </si>
  <si>
    <t>Tipo</t>
  </si>
  <si>
    <t>No cumple</t>
  </si>
  <si>
    <t>Iluminancia vertical 0.0 m</t>
  </si>
  <si>
    <t>Iluminancia vertical 1.0 m</t>
  </si>
  <si>
    <t>Iluminancia vertical 1.5 m</t>
  </si>
  <si>
    <t>Reflectancia piso</t>
  </si>
  <si>
    <t>0.2 – 0.4</t>
  </si>
  <si>
    <t>C</t>
  </si>
  <si>
    <t>Cumple</t>
  </si>
  <si>
    <t>Reflectancia pared (vertical)</t>
  </si>
  <si>
    <t>0.5 – 0.8</t>
  </si>
  <si>
    <t>Reflectancia techo</t>
  </si>
  <si>
    <t>0.7 – 0.9</t>
  </si>
  <si>
    <t>Luminancia superficie</t>
  </si>
  <si>
    <t>Informativo</t>
  </si>
  <si>
    <t>Espectro bandas de octava</t>
  </si>
  <si>
    <t>perfil</t>
  </si>
  <si>
    <t>Percentil L10</t>
  </si>
  <si>
    <t>L10</t>
  </si>
  <si>
    <t>Percentil L50</t>
  </si>
  <si>
    <t>L50</t>
  </si>
  <si>
    <t>Percentil L90</t>
  </si>
  <si>
    <t>L90</t>
  </si>
  <si>
    <t>Atenuación de protector</t>
  </si>
  <si>
    <t>L'</t>
  </si>
  <si>
    <t>I</t>
  </si>
  <si>
    <t>Temperatura del aire</t>
  </si>
  <si>
    <t>Bulbo húmedo natural</t>
  </si>
  <si>
    <t>+1.0</t>
  </si>
  <si>
    <t>Insatisfechos</t>
  </si>
  <si>
    <t>Régimen trabajo/descanso</t>
  </si>
  <si>
    <t>45/15</t>
  </si>
  <si>
    <t>≤ 30 J/m²</t>
  </si>
  <si>
    <t>Irradiancia UV-A / UV-B / UV-C</t>
  </si>
  <si>
    <t>A(8)</t>
  </si>
  <si>
    <t>≤ 5 m/s²</t>
  </si>
  <si>
    <t>≤ 1.15 m/s²</t>
  </si>
  <si>
    <t>Tipo: M medición en campo · C cálculo por fórmula · I inspección. Incertidumbre expandida U (k=2, ~95%) según GUM. Celdas amarillas = editables.</t>
  </si>
  <si>
    <t>Leyenda y notas</t>
  </si>
  <si>
    <t>Estructura del libro</t>
  </si>
  <si>
    <t>Hoja 1 · Dashboard: indicadores globales y valor de cabecera por agente.</t>
  </si>
  <si>
    <t>Hoja 2 · Detalle técnico: todas las sub-mediciones y variables derivadas por agente.</t>
  </si>
  <si>
    <t>Hoja 3 · Análisis: índices y variables derivadas del análisis de riesgo.</t>
  </si>
  <si>
    <t>Reporte Hoja 1: informe básico de una página (resumen ejecutivo por agente).</t>
  </si>
  <si>
    <t>Reporte Hoja 2: anexo técnico avanzado con todas las variables por agente.</t>
  </si>
  <si>
    <t>Medición — valor tomado directamente con instrumento en campo.</t>
  </si>
  <si>
    <t>Cálculo — valor derivado por fórmula a partir de otras variables.</t>
  </si>
  <si>
    <t>Inspección — valor por observación, cronometraje o tabla normalizada.</t>
  </si>
  <si>
    <t>Incertidumbre y normas</t>
  </si>
  <si>
    <t>Cada variable medida se reporta con incertidumbre expandida U (k=2, ~95%) según GUM.</t>
  </si>
  <si>
    <t>Los límites son de referencia; confírmalos contra la normativa vigente por país, sector y tarea.</t>
  </si>
  <si>
    <t>Iluminación ISO 8995-1/CIE/RETILAP · Ruido ISO 9612/4869 · Térmico ISO 7243/7730/7933/8996/9920 · UV ICNIRP/ACGIH · Vibración ISO 5349/2631.</t>
  </si>
  <si>
    <t>Instrumentación</t>
  </si>
  <si>
    <t>Luxómetro, sonómetro y medidor WBGT cubren iluminación, sonido y térmico.</t>
  </si>
  <si>
    <t>Radiación UV y vibración requieren radiómetro UV y vibrómetro triaxial (instrumentación adicional).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</si>
</sst>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"/>
    </font>
    <font>
      <b/>
      <sz val="13"/>
      <color rgb="FF1F3A5F"/>
      <name val="Arial"/>
      <charset val="1"/>
    </font>
    <font>
      <i/>
      <sz val="10"/>
      <color rgb="FF5F5E5A"/>
      <name val="Arial"/>
      <charset val="1"/>
    </font>
    <font>
      <b/>
      <sz val="10"/>
      <color rgb="FFFFFFFF"/>
      <name val="Arial"/>
      <charset val="1"/>
    </font>
    <font>
      <b/>
      <sz val="10"/>
      <color rgb="FF2C2C2A"/>
      <name val="Arial"/>
      <charset val="1"/>
    </font>
    <font>
      <sz val="10"/>
      <color rgb="FF2C2C2A"/>
      <name val="Arial"/>
      <charset val="1"/>
    </font>
    <font>
      <b/>
      <sz val="15"/>
      <color rgb="FF1F3A5F"/>
      <name val="Arial"/>
      <charset val="1"/>
    </font>
    <font>
      <b/>
      <sz val="11"/>
      <color rgb="FFFFFFFF"/>
      <name val="Arial"/>
      <charset val="1"/>
    </font>
    <font>
      <sz val="10"/>
      <color rgb="FF1F4E79"/>
      <name val="Arial"/>
      <charset val="1"/>
    </font>
    <font>
      <sz val="10"/>
      <color rgb="FF5F5E5A"/>
      <name val="Arial"/>
      <charset val="1"/>
    </font>
    <font>
      <sz val="9"/>
      <color rgb="FF5F5E5A"/>
      <name val="Arial"/>
      <charset val="1"/>
    </font>
    <font>
      <b/>
      <sz val="11"/>
      <color rgb="FF1F3A5F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A5F"/>
        <bgColor rgb="FF1F4E79"/>
      </patternFill>
    </fill>
    <fill>
      <patternFill patternType="solid">
        <fgColor rgb="FFEAECEF"/>
        <bgColor rgb="FFE4EEF8"/>
      </patternFill>
    </fill>
    <fill>
      <patternFill patternType="solid">
        <fgColor rgb="FFFBF0DA"/>
        <bgColor rgb="FFFFF2CC"/>
      </patternFill>
    </fill>
    <fill>
      <patternFill patternType="solid">
        <fgColor rgb="FFE4EEF8"/>
        <bgColor rgb="FFEAECEF"/>
      </patternFill>
    </fill>
    <fill>
      <patternFill patternType="solid">
        <fgColor rgb="FFFAE7E1"/>
        <bgColor rgb="FFFBF0DA"/>
      </patternFill>
    </fill>
    <fill>
      <patternFill patternType="solid">
        <fgColor rgb="FFEFEDFB"/>
        <bgColor rgb="FFEAECEF"/>
      </patternFill>
    </fill>
    <fill>
      <patternFill patternType="solid">
        <fgColor rgb="FFE1F2EC"/>
        <bgColor rgb="FFE4EEF8"/>
      </patternFill>
    </fill>
    <fill>
      <patternFill patternType="solid">
        <fgColor rgb="FFFFF2CC"/>
        <bgColor rgb="FFFBF0DA"/>
      </patternFill>
    </fill>
    <fill>
      <patternFill patternType="solid">
        <fgColor rgb="FF4A6785"/>
        <bgColor rgb="FF5F5E5A"/>
      </patternFill>
    </fill>
  </fills>
  <borders count="2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0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 wrapText="1"/>
    </xf>
    <xf numFmtId="0" fontId="7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0" xfId="0" applyFont="1"/>
    <xf numFmtId="0" fontId="9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</cellXfs>
  <cellStyles count="1">
    <cellStyle name="Normal" xfId="0" builtinId="0"/>
  </cellStyles>
  <dxfs count="12"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6E56"/>
      <rgbColor rgb="FFC9CDD3"/>
      <rgbColor rgb="FF5F5E5A"/>
      <rgbColor rgb="FF9999FF"/>
      <rgbColor rgb="FF993366"/>
      <rgbColor rgb="FFFFF2CC"/>
      <rgbColor rgb="FFE1F2EC"/>
      <rgbColor rgb="FF660066"/>
      <rgbColor rgb="FFFF8080"/>
      <rgbColor rgb="FF0066CC"/>
      <rgbColor rgb="FFEFED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F8"/>
      <rgbColor rgb="FFEAECEF"/>
      <rgbColor rgb="FFFBF0DA"/>
      <rgbColor rgb="FF99CCFF"/>
      <rgbColor rgb="FFFF99CC"/>
      <rgbColor rgb="FFCC99FF"/>
      <rgbColor rgb="FFFAE7E1"/>
      <rgbColor rgb="FF3366FF"/>
      <rgbColor rgb="FF33CCCC"/>
      <rgbColor rgb="FF99CC00"/>
      <rgbColor rgb="FFFFCC00"/>
      <rgbColor rgb="FFFF9900"/>
      <rgbColor rgb="FFFF6600"/>
      <rgbColor rgb="FF4A6785"/>
      <rgbColor rgb="FF969696"/>
      <rgbColor rgb="FF1F3A5F"/>
      <rgbColor rgb="FF339966"/>
      <rgbColor rgb="FF003300"/>
      <rgbColor rgb="FF333300"/>
      <rgbColor rgb="FFA32D2D"/>
      <rgbColor rgb="FF993366"/>
      <rgbColor rgb="FF1F4E7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showGridLines="0" tabSelected="1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4.4" x14ac:dyDescent="0.3"/>
  <cols>
    <col min="1" max="1" width="20" customWidth="1"/>
    <col min="2" max="2" width="40" customWidth="1"/>
    <col min="3" max="3" width="18" customWidth="1"/>
    <col min="4" max="4" width="22" customWidth="1"/>
    <col min="5" max="5" width="18" customWidth="1"/>
    <col min="6" max="6" width="26" customWidth="1"/>
  </cols>
  <sheetData>
    <row r="1" spans="1:6" ht="24" customHeight="1" x14ac:dyDescent="0.3">
      <c r="A1" s="9" t="s">
        <v>0</v>
      </c>
      <c r="B1" s="9"/>
      <c r="C1" s="9"/>
      <c r="D1" s="9"/>
      <c r="E1" s="9"/>
      <c r="F1" s="9"/>
    </row>
    <row r="2" spans="1:6" x14ac:dyDescent="0.3">
      <c r="A2" s="8" t="s">
        <v>1</v>
      </c>
      <c r="B2" s="8"/>
      <c r="C2" s="8"/>
      <c r="D2" s="8"/>
      <c r="E2" s="8"/>
      <c r="F2" s="8"/>
    </row>
    <row r="4" spans="1:6" ht="21.75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6" x14ac:dyDescent="0.3">
      <c r="A5" s="11" t="s">
        <v>8</v>
      </c>
      <c r="B5" s="12" t="s">
        <v>9</v>
      </c>
      <c r="C5" s="13" t="s">
        <v>10</v>
      </c>
      <c r="D5" s="13" t="s">
        <v>11</v>
      </c>
      <c r="E5" s="13" t="s">
        <v>12</v>
      </c>
      <c r="F5" s="12" t="s">
        <v>13</v>
      </c>
    </row>
    <row r="6" spans="1:6" x14ac:dyDescent="0.3">
      <c r="A6" s="11" t="s">
        <v>8</v>
      </c>
      <c r="B6" s="12" t="s">
        <v>14</v>
      </c>
      <c r="C6" s="13" t="s">
        <v>15</v>
      </c>
      <c r="D6" s="13" t="s">
        <v>11</v>
      </c>
      <c r="E6" s="13" t="s">
        <v>12</v>
      </c>
      <c r="F6" s="12" t="s">
        <v>13</v>
      </c>
    </row>
    <row r="7" spans="1:6" x14ac:dyDescent="0.3">
      <c r="A7" s="11" t="s">
        <v>8</v>
      </c>
      <c r="B7" s="12" t="s">
        <v>16</v>
      </c>
      <c r="C7" s="13" t="s">
        <v>17</v>
      </c>
      <c r="D7" s="13" t="s">
        <v>11</v>
      </c>
      <c r="E7" s="13" t="s">
        <v>12</v>
      </c>
      <c r="F7" s="12" t="s">
        <v>13</v>
      </c>
    </row>
    <row r="8" spans="1:6" x14ac:dyDescent="0.3">
      <c r="A8" s="11" t="s">
        <v>8</v>
      </c>
      <c r="B8" s="12" t="s">
        <v>18</v>
      </c>
      <c r="C8" s="13" t="s">
        <v>19</v>
      </c>
      <c r="D8" s="13" t="s">
        <v>20</v>
      </c>
      <c r="E8" s="13" t="s">
        <v>12</v>
      </c>
      <c r="F8" s="12" t="s">
        <v>13</v>
      </c>
    </row>
    <row r="9" spans="1:6" x14ac:dyDescent="0.3">
      <c r="A9" s="11" t="s">
        <v>8</v>
      </c>
      <c r="B9" s="12" t="s">
        <v>21</v>
      </c>
      <c r="C9" s="13" t="s">
        <v>22</v>
      </c>
      <c r="D9" s="13" t="s">
        <v>23</v>
      </c>
      <c r="E9" s="13" t="s">
        <v>12</v>
      </c>
      <c r="F9" s="12" t="s">
        <v>13</v>
      </c>
    </row>
    <row r="10" spans="1:6" x14ac:dyDescent="0.3">
      <c r="A10" s="11" t="s">
        <v>8</v>
      </c>
      <c r="B10" s="12" t="s">
        <v>24</v>
      </c>
      <c r="C10" s="13" t="s">
        <v>25</v>
      </c>
      <c r="D10" s="13" t="s">
        <v>11</v>
      </c>
      <c r="E10" s="13" t="s">
        <v>12</v>
      </c>
      <c r="F10" s="12" t="s">
        <v>13</v>
      </c>
    </row>
    <row r="11" spans="1:6" x14ac:dyDescent="0.3">
      <c r="A11" s="14" t="s">
        <v>26</v>
      </c>
      <c r="B11" s="12" t="s">
        <v>27</v>
      </c>
      <c r="C11" s="13" t="s">
        <v>28</v>
      </c>
      <c r="D11" s="13" t="s">
        <v>29</v>
      </c>
      <c r="E11" s="13" t="s">
        <v>30</v>
      </c>
      <c r="F11" s="12" t="s">
        <v>31</v>
      </c>
    </row>
    <row r="12" spans="1:6" x14ac:dyDescent="0.3">
      <c r="A12" s="15" t="s">
        <v>32</v>
      </c>
      <c r="B12" s="12" t="s">
        <v>33</v>
      </c>
      <c r="C12" s="13" t="s">
        <v>34</v>
      </c>
      <c r="D12" s="13" t="s">
        <v>35</v>
      </c>
      <c r="E12" s="13" t="s">
        <v>12</v>
      </c>
      <c r="F12" s="12" t="s">
        <v>36</v>
      </c>
    </row>
    <row r="13" spans="1:6" x14ac:dyDescent="0.3">
      <c r="A13" s="16" t="s">
        <v>37</v>
      </c>
      <c r="B13" s="12" t="s">
        <v>38</v>
      </c>
      <c r="C13" s="13" t="s">
        <v>39</v>
      </c>
      <c r="D13" s="13" t="s">
        <v>40</v>
      </c>
      <c r="E13" s="13" t="s">
        <v>12</v>
      </c>
      <c r="F13" s="12" t="s">
        <v>41</v>
      </c>
    </row>
    <row r="14" spans="1:6" x14ac:dyDescent="0.3">
      <c r="A14" s="17" t="s">
        <v>42</v>
      </c>
      <c r="B14" s="12" t="s">
        <v>43</v>
      </c>
      <c r="C14" s="13" t="s">
        <v>44</v>
      </c>
      <c r="D14" s="13" t="s">
        <v>45</v>
      </c>
      <c r="E14" s="13" t="s">
        <v>30</v>
      </c>
      <c r="F14" s="12" t="s">
        <v>46</v>
      </c>
    </row>
    <row r="15" spans="1:6" x14ac:dyDescent="0.3">
      <c r="A15" s="18" t="s">
        <v>47</v>
      </c>
      <c r="B15" s="12" t="s">
        <v>48</v>
      </c>
      <c r="C15" s="13" t="s">
        <v>49</v>
      </c>
      <c r="D15" s="13" t="s">
        <v>50</v>
      </c>
      <c r="E15" s="13" t="s">
        <v>30</v>
      </c>
      <c r="F15" s="12" t="s">
        <v>51</v>
      </c>
    </row>
  </sheetData>
  <autoFilter ref="A4:F15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7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2" width="40" customWidth="1"/>
    <col min="3" max="3" width="18" customWidth="1"/>
    <col min="4" max="4" width="22" customWidth="1"/>
    <col min="5" max="5" width="18" customWidth="1"/>
    <col min="6" max="6" width="26" customWidth="1"/>
  </cols>
  <sheetData>
    <row r="1" spans="1:6" ht="24" customHeight="1" x14ac:dyDescent="0.3">
      <c r="A1" s="9" t="s">
        <v>52</v>
      </c>
      <c r="B1" s="9"/>
      <c r="C1" s="9"/>
      <c r="D1" s="9"/>
      <c r="E1" s="9"/>
      <c r="F1" s="9"/>
    </row>
    <row r="2" spans="1:6" x14ac:dyDescent="0.3">
      <c r="A2" s="8" t="s">
        <v>53</v>
      </c>
      <c r="B2" s="8"/>
      <c r="C2" s="8"/>
      <c r="D2" s="8"/>
      <c r="E2" s="8"/>
      <c r="F2" s="8"/>
    </row>
    <row r="4" spans="1:6" ht="21.75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6" x14ac:dyDescent="0.3">
      <c r="A5" s="14" t="s">
        <v>26</v>
      </c>
      <c r="B5" s="12" t="s">
        <v>54</v>
      </c>
      <c r="C5" s="13" t="s">
        <v>28</v>
      </c>
      <c r="D5" s="13" t="s">
        <v>29</v>
      </c>
      <c r="E5" s="13" t="s">
        <v>30</v>
      </c>
      <c r="F5" s="12" t="s">
        <v>55</v>
      </c>
    </row>
    <row r="6" spans="1:6" x14ac:dyDescent="0.3">
      <c r="A6" s="14" t="s">
        <v>26</v>
      </c>
      <c r="B6" s="12" t="s">
        <v>56</v>
      </c>
      <c r="C6" s="13" t="s">
        <v>57</v>
      </c>
      <c r="D6" s="13" t="s">
        <v>29</v>
      </c>
      <c r="E6" s="13" t="s">
        <v>30</v>
      </c>
      <c r="F6" s="12" t="s">
        <v>13</v>
      </c>
    </row>
    <row r="7" spans="1:6" x14ac:dyDescent="0.3">
      <c r="A7" s="14" t="s">
        <v>26</v>
      </c>
      <c r="B7" s="12" t="s">
        <v>58</v>
      </c>
      <c r="C7" s="13" t="s">
        <v>59</v>
      </c>
      <c r="D7" s="13" t="s">
        <v>29</v>
      </c>
      <c r="E7" s="13" t="s">
        <v>30</v>
      </c>
      <c r="F7" s="12" t="s">
        <v>13</v>
      </c>
    </row>
    <row r="8" spans="1:6" x14ac:dyDescent="0.3">
      <c r="A8" s="14" t="s">
        <v>26</v>
      </c>
      <c r="B8" s="12" t="s">
        <v>60</v>
      </c>
      <c r="C8" s="13" t="s">
        <v>61</v>
      </c>
      <c r="D8" s="13" t="s">
        <v>29</v>
      </c>
      <c r="E8" s="13" t="s">
        <v>12</v>
      </c>
      <c r="F8" s="12" t="s">
        <v>13</v>
      </c>
    </row>
    <row r="9" spans="1:6" x14ac:dyDescent="0.3">
      <c r="A9" s="14" t="s">
        <v>26</v>
      </c>
      <c r="B9" s="12" t="s">
        <v>62</v>
      </c>
      <c r="C9" s="13" t="s">
        <v>63</v>
      </c>
      <c r="D9" s="13" t="s">
        <v>45</v>
      </c>
      <c r="E9" s="13" t="s">
        <v>12</v>
      </c>
      <c r="F9" s="12" t="s">
        <v>64</v>
      </c>
    </row>
    <row r="10" spans="1:6" x14ac:dyDescent="0.3">
      <c r="A10" s="14" t="s">
        <v>26</v>
      </c>
      <c r="B10" s="12" t="s">
        <v>65</v>
      </c>
      <c r="C10" s="13" t="s">
        <v>66</v>
      </c>
      <c r="D10" s="13" t="s">
        <v>67</v>
      </c>
      <c r="E10" s="13" t="s">
        <v>12</v>
      </c>
      <c r="F10" s="12" t="s">
        <v>13</v>
      </c>
    </row>
    <row r="11" spans="1:6" x14ac:dyDescent="0.3">
      <c r="A11" s="14" t="s">
        <v>26</v>
      </c>
      <c r="B11" s="12" t="s">
        <v>68</v>
      </c>
      <c r="C11" s="13" t="s">
        <v>69</v>
      </c>
      <c r="D11" s="13" t="s">
        <v>70</v>
      </c>
      <c r="E11" s="13" t="s">
        <v>30</v>
      </c>
      <c r="F11" s="12" t="s">
        <v>13</v>
      </c>
    </row>
    <row r="12" spans="1:6" x14ac:dyDescent="0.3">
      <c r="A12" s="14" t="s">
        <v>26</v>
      </c>
      <c r="B12" s="12" t="s">
        <v>71</v>
      </c>
      <c r="C12" s="13" t="s">
        <v>72</v>
      </c>
      <c r="D12" s="13" t="s">
        <v>45</v>
      </c>
      <c r="E12" s="13" t="s">
        <v>12</v>
      </c>
      <c r="F12" s="12" t="s">
        <v>73</v>
      </c>
    </row>
    <row r="13" spans="1:6" x14ac:dyDescent="0.3">
      <c r="A13" s="14" t="s">
        <v>26</v>
      </c>
      <c r="B13" s="12" t="s">
        <v>74</v>
      </c>
      <c r="C13" s="13" t="s">
        <v>75</v>
      </c>
      <c r="D13" s="13" t="s">
        <v>45</v>
      </c>
      <c r="E13" s="13" t="s">
        <v>76</v>
      </c>
      <c r="F13" s="12" t="s">
        <v>13</v>
      </c>
    </row>
    <row r="14" spans="1:6" x14ac:dyDescent="0.3">
      <c r="A14" s="14" t="s">
        <v>26</v>
      </c>
      <c r="B14" s="12" t="s">
        <v>77</v>
      </c>
      <c r="C14" s="13" t="s">
        <v>78</v>
      </c>
      <c r="D14" s="13" t="s">
        <v>20</v>
      </c>
      <c r="E14" s="13" t="s">
        <v>12</v>
      </c>
      <c r="F14" s="12" t="s">
        <v>13</v>
      </c>
    </row>
    <row r="15" spans="1:6" x14ac:dyDescent="0.3">
      <c r="A15" s="15" t="s">
        <v>32</v>
      </c>
      <c r="B15" s="12" t="s">
        <v>79</v>
      </c>
      <c r="C15" s="13" t="s">
        <v>80</v>
      </c>
      <c r="D15" s="13" t="s">
        <v>81</v>
      </c>
      <c r="E15" s="13" t="s">
        <v>30</v>
      </c>
      <c r="F15" s="12" t="s">
        <v>13</v>
      </c>
    </row>
    <row r="16" spans="1:6" x14ac:dyDescent="0.3">
      <c r="A16" s="15" t="s">
        <v>32</v>
      </c>
      <c r="B16" s="12" t="s">
        <v>82</v>
      </c>
      <c r="C16" s="13" t="s">
        <v>83</v>
      </c>
      <c r="D16" s="13" t="s">
        <v>35</v>
      </c>
      <c r="E16" s="13" t="s">
        <v>30</v>
      </c>
      <c r="F16" s="12" t="s">
        <v>36</v>
      </c>
    </row>
    <row r="17" spans="1:6" x14ac:dyDescent="0.3">
      <c r="A17" s="15" t="s">
        <v>32</v>
      </c>
      <c r="B17" s="12" t="s">
        <v>84</v>
      </c>
      <c r="C17" s="13" t="s">
        <v>85</v>
      </c>
      <c r="D17" s="13" t="s">
        <v>86</v>
      </c>
      <c r="E17" s="13" t="s">
        <v>30</v>
      </c>
      <c r="F17" s="12" t="s">
        <v>87</v>
      </c>
    </row>
    <row r="18" spans="1:6" x14ac:dyDescent="0.3">
      <c r="A18" s="15" t="s">
        <v>32</v>
      </c>
      <c r="B18" s="12" t="s">
        <v>88</v>
      </c>
      <c r="C18" s="13" t="s">
        <v>34</v>
      </c>
      <c r="D18" s="13" t="s">
        <v>35</v>
      </c>
      <c r="E18" s="13" t="s">
        <v>12</v>
      </c>
      <c r="F18" s="12" t="s">
        <v>36</v>
      </c>
    </row>
    <row r="19" spans="1:6" x14ac:dyDescent="0.3">
      <c r="A19" s="15" t="s">
        <v>32</v>
      </c>
      <c r="B19" s="12" t="s">
        <v>89</v>
      </c>
      <c r="C19" s="13" t="s">
        <v>90</v>
      </c>
      <c r="D19" s="13" t="s">
        <v>20</v>
      </c>
      <c r="E19" s="13" t="s">
        <v>12</v>
      </c>
      <c r="F19" s="12" t="s">
        <v>91</v>
      </c>
    </row>
    <row r="20" spans="1:6" x14ac:dyDescent="0.3">
      <c r="A20" s="15" t="s">
        <v>32</v>
      </c>
      <c r="B20" s="12" t="s">
        <v>92</v>
      </c>
      <c r="C20" s="13" t="s">
        <v>93</v>
      </c>
      <c r="D20" s="13" t="s">
        <v>35</v>
      </c>
      <c r="E20" s="13" t="s">
        <v>12</v>
      </c>
      <c r="F20" s="12" t="s">
        <v>13</v>
      </c>
    </row>
    <row r="21" spans="1:6" x14ac:dyDescent="0.3">
      <c r="A21" s="15" t="s">
        <v>32</v>
      </c>
      <c r="B21" s="12" t="s">
        <v>94</v>
      </c>
      <c r="C21" s="13" t="s">
        <v>95</v>
      </c>
      <c r="D21" s="13" t="s">
        <v>96</v>
      </c>
      <c r="E21" s="13" t="s">
        <v>30</v>
      </c>
      <c r="F21" s="12" t="s">
        <v>97</v>
      </c>
    </row>
    <row r="22" spans="1:6" x14ac:dyDescent="0.3">
      <c r="A22" s="15" t="s">
        <v>32</v>
      </c>
      <c r="B22" s="12" t="s">
        <v>98</v>
      </c>
      <c r="C22" s="13" t="s">
        <v>99</v>
      </c>
      <c r="D22" s="13" t="s">
        <v>81</v>
      </c>
      <c r="E22" s="13" t="s">
        <v>12</v>
      </c>
      <c r="F22" s="12" t="s">
        <v>100</v>
      </c>
    </row>
    <row r="23" spans="1:6" x14ac:dyDescent="0.3">
      <c r="A23" s="15" t="s">
        <v>32</v>
      </c>
      <c r="B23" s="12" t="s">
        <v>101</v>
      </c>
      <c r="C23" s="13" t="s">
        <v>102</v>
      </c>
      <c r="D23" s="13" t="s">
        <v>103</v>
      </c>
      <c r="E23" s="13" t="s">
        <v>104</v>
      </c>
      <c r="F23" s="12" t="s">
        <v>105</v>
      </c>
    </row>
    <row r="24" spans="1:6" x14ac:dyDescent="0.3">
      <c r="A24" s="16" t="s">
        <v>37</v>
      </c>
      <c r="B24" s="12" t="s">
        <v>106</v>
      </c>
      <c r="C24" s="13" t="s">
        <v>107</v>
      </c>
      <c r="D24" s="13" t="s">
        <v>40</v>
      </c>
      <c r="E24" s="13" t="s">
        <v>30</v>
      </c>
      <c r="F24" s="12" t="s">
        <v>13</v>
      </c>
    </row>
    <row r="25" spans="1:6" x14ac:dyDescent="0.3">
      <c r="A25" s="16" t="s">
        <v>37</v>
      </c>
      <c r="B25" s="12" t="s">
        <v>108</v>
      </c>
      <c r="C25" s="13" t="s">
        <v>109</v>
      </c>
      <c r="D25" s="13" t="s">
        <v>40</v>
      </c>
      <c r="E25" s="13" t="s">
        <v>30</v>
      </c>
      <c r="F25" s="12" t="s">
        <v>13</v>
      </c>
    </row>
    <row r="26" spans="1:6" x14ac:dyDescent="0.3">
      <c r="A26" s="16" t="s">
        <v>37</v>
      </c>
      <c r="B26" s="12" t="s">
        <v>110</v>
      </c>
      <c r="C26" s="13" t="s">
        <v>111</v>
      </c>
      <c r="D26" s="13" t="s">
        <v>40</v>
      </c>
      <c r="E26" s="13" t="s">
        <v>30</v>
      </c>
      <c r="F26" s="12" t="s">
        <v>13</v>
      </c>
    </row>
    <row r="27" spans="1:6" x14ac:dyDescent="0.3">
      <c r="A27" s="16" t="s">
        <v>37</v>
      </c>
      <c r="B27" s="12" t="s">
        <v>112</v>
      </c>
      <c r="C27" s="13" t="s">
        <v>113</v>
      </c>
      <c r="D27" s="13" t="s">
        <v>40</v>
      </c>
      <c r="E27" s="13" t="s">
        <v>12</v>
      </c>
      <c r="F27" s="12" t="s">
        <v>13</v>
      </c>
    </row>
    <row r="28" spans="1:6" x14ac:dyDescent="0.3">
      <c r="A28" s="16" t="s">
        <v>37</v>
      </c>
      <c r="B28" s="12" t="s">
        <v>114</v>
      </c>
      <c r="C28" s="13" t="s">
        <v>115</v>
      </c>
      <c r="D28" s="13" t="s">
        <v>20</v>
      </c>
      <c r="E28" s="13" t="s">
        <v>30</v>
      </c>
      <c r="F28" s="12" t="s">
        <v>116</v>
      </c>
    </row>
    <row r="29" spans="1:6" x14ac:dyDescent="0.3">
      <c r="A29" s="16" t="s">
        <v>37</v>
      </c>
      <c r="B29" s="12" t="s">
        <v>117</v>
      </c>
      <c r="C29" s="13" t="s">
        <v>118</v>
      </c>
      <c r="D29" s="13" t="s">
        <v>119</v>
      </c>
      <c r="E29" s="13" t="s">
        <v>30</v>
      </c>
      <c r="F29" s="12" t="s">
        <v>13</v>
      </c>
    </row>
    <row r="30" spans="1:6" x14ac:dyDescent="0.3">
      <c r="A30" s="16" t="s">
        <v>37</v>
      </c>
      <c r="B30" s="12" t="s">
        <v>38</v>
      </c>
      <c r="C30" s="13" t="s">
        <v>39</v>
      </c>
      <c r="D30" s="13" t="s">
        <v>40</v>
      </c>
      <c r="E30" s="13" t="s">
        <v>12</v>
      </c>
      <c r="F30" s="12" t="s">
        <v>120</v>
      </c>
    </row>
    <row r="31" spans="1:6" x14ac:dyDescent="0.3">
      <c r="A31" s="16" t="s">
        <v>37</v>
      </c>
      <c r="B31" s="12" t="s">
        <v>121</v>
      </c>
      <c r="C31" s="13" t="s">
        <v>122</v>
      </c>
      <c r="D31" s="13" t="s">
        <v>45</v>
      </c>
      <c r="E31" s="13" t="s">
        <v>12</v>
      </c>
      <c r="F31" s="12" t="s">
        <v>123</v>
      </c>
    </row>
    <row r="32" spans="1:6" x14ac:dyDescent="0.3">
      <c r="A32" s="16" t="s">
        <v>37</v>
      </c>
      <c r="B32" s="12" t="s">
        <v>124</v>
      </c>
      <c r="C32" s="13" t="s">
        <v>125</v>
      </c>
      <c r="D32" s="13" t="s">
        <v>20</v>
      </c>
      <c r="E32" s="13" t="s">
        <v>12</v>
      </c>
      <c r="F32" s="12" t="s">
        <v>126</v>
      </c>
    </row>
    <row r="33" spans="1:6" x14ac:dyDescent="0.3">
      <c r="A33" s="16" t="s">
        <v>37</v>
      </c>
      <c r="B33" s="12" t="s">
        <v>127</v>
      </c>
      <c r="C33" s="13" t="s">
        <v>128</v>
      </c>
      <c r="D33" s="13" t="s">
        <v>129</v>
      </c>
      <c r="E33" s="13" t="s">
        <v>104</v>
      </c>
      <c r="F33" s="12" t="s">
        <v>130</v>
      </c>
    </row>
    <row r="34" spans="1:6" x14ac:dyDescent="0.3">
      <c r="A34" s="16" t="s">
        <v>37</v>
      </c>
      <c r="B34" s="12" t="s">
        <v>131</v>
      </c>
      <c r="C34" s="13" t="s">
        <v>132</v>
      </c>
      <c r="D34" s="13" t="s">
        <v>133</v>
      </c>
      <c r="E34" s="13" t="s">
        <v>104</v>
      </c>
      <c r="F34" s="12" t="s">
        <v>134</v>
      </c>
    </row>
    <row r="35" spans="1:6" x14ac:dyDescent="0.3">
      <c r="A35" s="16" t="s">
        <v>37</v>
      </c>
      <c r="B35" s="12" t="s">
        <v>135</v>
      </c>
      <c r="C35" s="13" t="s">
        <v>13</v>
      </c>
      <c r="D35" s="13" t="s">
        <v>136</v>
      </c>
      <c r="E35" s="13" t="s">
        <v>12</v>
      </c>
      <c r="F35" s="12" t="s">
        <v>137</v>
      </c>
    </row>
    <row r="36" spans="1:6" x14ac:dyDescent="0.3">
      <c r="A36" s="17" t="s">
        <v>42</v>
      </c>
      <c r="B36" s="12" t="s">
        <v>138</v>
      </c>
      <c r="C36" s="13" t="s">
        <v>139</v>
      </c>
      <c r="D36" s="13" t="s">
        <v>140</v>
      </c>
      <c r="E36" s="13" t="s">
        <v>30</v>
      </c>
      <c r="F36" s="12" t="s">
        <v>13</v>
      </c>
    </row>
    <row r="37" spans="1:6" x14ac:dyDescent="0.3">
      <c r="A37" s="17" t="s">
        <v>42</v>
      </c>
      <c r="B37" s="12" t="s">
        <v>141</v>
      </c>
      <c r="C37" s="13" t="s">
        <v>142</v>
      </c>
      <c r="D37" s="13" t="s">
        <v>143</v>
      </c>
      <c r="E37" s="13" t="s">
        <v>12</v>
      </c>
      <c r="F37" s="12" t="s">
        <v>144</v>
      </c>
    </row>
    <row r="38" spans="1:6" x14ac:dyDescent="0.3">
      <c r="A38" s="17" t="s">
        <v>42</v>
      </c>
      <c r="B38" s="12" t="s">
        <v>145</v>
      </c>
      <c r="C38" s="13" t="s">
        <v>146</v>
      </c>
      <c r="D38" s="13" t="s">
        <v>140</v>
      </c>
      <c r="E38" s="13" t="s">
        <v>30</v>
      </c>
      <c r="F38" s="12" t="s">
        <v>13</v>
      </c>
    </row>
    <row r="39" spans="1:6" x14ac:dyDescent="0.3">
      <c r="A39" s="17" t="s">
        <v>42</v>
      </c>
      <c r="B39" s="12" t="s">
        <v>43</v>
      </c>
      <c r="C39" s="13" t="s">
        <v>44</v>
      </c>
      <c r="D39" s="13" t="s">
        <v>45</v>
      </c>
      <c r="E39" s="13" t="s">
        <v>30</v>
      </c>
      <c r="F39" s="12" t="s">
        <v>46</v>
      </c>
    </row>
    <row r="40" spans="1:6" x14ac:dyDescent="0.3">
      <c r="A40" s="17" t="s">
        <v>42</v>
      </c>
      <c r="B40" s="12" t="s">
        <v>147</v>
      </c>
      <c r="C40" s="13" t="s">
        <v>148</v>
      </c>
      <c r="D40" s="13" t="s">
        <v>103</v>
      </c>
      <c r="E40" s="13" t="s">
        <v>12</v>
      </c>
      <c r="F40" s="12" t="s">
        <v>13</v>
      </c>
    </row>
    <row r="41" spans="1:6" x14ac:dyDescent="0.3">
      <c r="A41" s="18" t="s">
        <v>47</v>
      </c>
      <c r="B41" s="12" t="s">
        <v>149</v>
      </c>
      <c r="C41" s="13" t="s">
        <v>49</v>
      </c>
      <c r="D41" s="13" t="s">
        <v>50</v>
      </c>
      <c r="E41" s="13" t="s">
        <v>30</v>
      </c>
      <c r="F41" s="12" t="s">
        <v>13</v>
      </c>
    </row>
    <row r="42" spans="1:6" x14ac:dyDescent="0.3">
      <c r="A42" s="18" t="s">
        <v>47</v>
      </c>
      <c r="B42" s="12" t="s">
        <v>150</v>
      </c>
      <c r="C42" s="13" t="s">
        <v>151</v>
      </c>
      <c r="D42" s="13" t="s">
        <v>50</v>
      </c>
      <c r="E42" s="13" t="s">
        <v>12</v>
      </c>
      <c r="F42" s="12" t="s">
        <v>152</v>
      </c>
    </row>
    <row r="43" spans="1:6" x14ac:dyDescent="0.3">
      <c r="A43" s="18" t="s">
        <v>47</v>
      </c>
      <c r="B43" s="12" t="s">
        <v>153</v>
      </c>
      <c r="C43" s="13" t="s">
        <v>154</v>
      </c>
      <c r="D43" s="13" t="s">
        <v>50</v>
      </c>
      <c r="E43" s="13" t="s">
        <v>30</v>
      </c>
      <c r="F43" s="12" t="s">
        <v>13</v>
      </c>
    </row>
    <row r="44" spans="1:6" x14ac:dyDescent="0.3">
      <c r="A44" s="18" t="s">
        <v>47</v>
      </c>
      <c r="B44" s="12" t="s">
        <v>155</v>
      </c>
      <c r="C44" s="13" t="s">
        <v>156</v>
      </c>
      <c r="D44" s="13" t="s">
        <v>50</v>
      </c>
      <c r="E44" s="13" t="s">
        <v>12</v>
      </c>
      <c r="F44" s="12" t="s">
        <v>157</v>
      </c>
    </row>
    <row r="45" spans="1:6" x14ac:dyDescent="0.3">
      <c r="A45" s="18" t="s">
        <v>47</v>
      </c>
      <c r="B45" s="12" t="s">
        <v>158</v>
      </c>
      <c r="C45" s="13" t="s">
        <v>159</v>
      </c>
      <c r="D45" s="13" t="s">
        <v>160</v>
      </c>
      <c r="E45" s="13" t="s">
        <v>12</v>
      </c>
      <c r="F45" s="12" t="s">
        <v>161</v>
      </c>
    </row>
    <row r="46" spans="1:6" x14ac:dyDescent="0.3">
      <c r="A46" s="18" t="s">
        <v>47</v>
      </c>
      <c r="B46" s="12" t="s">
        <v>162</v>
      </c>
      <c r="C46" s="13" t="s">
        <v>163</v>
      </c>
      <c r="D46" s="13" t="s">
        <v>164</v>
      </c>
      <c r="E46" s="13" t="s">
        <v>12</v>
      </c>
      <c r="F46" s="12" t="s">
        <v>13</v>
      </c>
    </row>
    <row r="47" spans="1:6" x14ac:dyDescent="0.3">
      <c r="A47" s="18" t="s">
        <v>47</v>
      </c>
      <c r="B47" s="12" t="s">
        <v>101</v>
      </c>
      <c r="C47" s="13" t="s">
        <v>102</v>
      </c>
      <c r="D47" s="13" t="s">
        <v>103</v>
      </c>
      <c r="E47" s="13" t="s">
        <v>104</v>
      </c>
      <c r="F47" s="12" t="s">
        <v>13</v>
      </c>
    </row>
  </sheetData>
  <autoFilter ref="A4:F47" xr:uid="{00000000-0009-0000-0000-000001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20" customWidth="1"/>
    <col min="2" max="2" width="40" customWidth="1"/>
    <col min="3" max="3" width="18" customWidth="1"/>
    <col min="4" max="4" width="22" customWidth="1"/>
    <col min="5" max="5" width="18" customWidth="1"/>
    <col min="6" max="6" width="26" customWidth="1"/>
  </cols>
  <sheetData>
    <row r="1" spans="1:6" ht="24" customHeight="1" x14ac:dyDescent="0.3">
      <c r="A1" s="9" t="s">
        <v>165</v>
      </c>
      <c r="B1" s="9"/>
      <c r="C1" s="9"/>
      <c r="D1" s="9"/>
      <c r="E1" s="9"/>
      <c r="F1" s="9"/>
    </row>
    <row r="2" spans="1:6" x14ac:dyDescent="0.3">
      <c r="A2" s="8" t="s">
        <v>166</v>
      </c>
      <c r="B2" s="8"/>
      <c r="C2" s="8"/>
      <c r="D2" s="8"/>
      <c r="E2" s="8"/>
      <c r="F2" s="8"/>
    </row>
    <row r="4" spans="1:6" ht="21.75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6" x14ac:dyDescent="0.3">
      <c r="A5" s="11" t="s">
        <v>167</v>
      </c>
      <c r="B5" s="12" t="s">
        <v>168</v>
      </c>
      <c r="C5" s="13" t="s">
        <v>169</v>
      </c>
      <c r="D5" s="13" t="s">
        <v>170</v>
      </c>
      <c r="E5" s="13" t="s">
        <v>12</v>
      </c>
      <c r="F5" s="12" t="s">
        <v>13</v>
      </c>
    </row>
    <row r="6" spans="1:6" x14ac:dyDescent="0.3">
      <c r="A6" s="11" t="s">
        <v>167</v>
      </c>
      <c r="B6" s="12" t="s">
        <v>18</v>
      </c>
      <c r="C6" s="13" t="s">
        <v>19</v>
      </c>
      <c r="D6" s="13" t="s">
        <v>20</v>
      </c>
      <c r="E6" s="13" t="s">
        <v>12</v>
      </c>
      <c r="F6" s="12" t="s">
        <v>13</v>
      </c>
    </row>
    <row r="7" spans="1:6" x14ac:dyDescent="0.3">
      <c r="A7" s="11" t="s">
        <v>167</v>
      </c>
      <c r="B7" s="12" t="s">
        <v>171</v>
      </c>
      <c r="C7" s="13" t="s">
        <v>172</v>
      </c>
      <c r="D7" s="13" t="s">
        <v>11</v>
      </c>
      <c r="E7" s="13" t="s">
        <v>12</v>
      </c>
      <c r="F7" s="12" t="s">
        <v>13</v>
      </c>
    </row>
    <row r="8" spans="1:6" x14ac:dyDescent="0.3">
      <c r="A8" s="11" t="s">
        <v>167</v>
      </c>
      <c r="B8" s="12" t="s">
        <v>173</v>
      </c>
      <c r="C8" s="13" t="s">
        <v>174</v>
      </c>
      <c r="D8" s="13" t="s">
        <v>175</v>
      </c>
      <c r="E8" s="13" t="s">
        <v>12</v>
      </c>
      <c r="F8" s="12" t="s">
        <v>13</v>
      </c>
    </row>
    <row r="9" spans="1:6" x14ac:dyDescent="0.3">
      <c r="A9" s="11" t="s">
        <v>167</v>
      </c>
      <c r="B9" s="12" t="s">
        <v>176</v>
      </c>
      <c r="C9" s="13" t="s">
        <v>10</v>
      </c>
      <c r="D9" s="13" t="s">
        <v>11</v>
      </c>
      <c r="E9" s="13" t="s">
        <v>12</v>
      </c>
      <c r="F9" s="12" t="s">
        <v>13</v>
      </c>
    </row>
    <row r="10" spans="1:6" x14ac:dyDescent="0.3">
      <c r="A10" s="11" t="s">
        <v>167</v>
      </c>
      <c r="B10" s="12" t="s">
        <v>177</v>
      </c>
      <c r="C10" s="13" t="s">
        <v>178</v>
      </c>
      <c r="D10" s="13" t="s">
        <v>20</v>
      </c>
      <c r="E10" s="13" t="s">
        <v>12</v>
      </c>
      <c r="F10" s="12" t="s">
        <v>13</v>
      </c>
    </row>
    <row r="11" spans="1:6" x14ac:dyDescent="0.3">
      <c r="A11" s="11" t="s">
        <v>167</v>
      </c>
      <c r="B11" s="12" t="s">
        <v>179</v>
      </c>
      <c r="C11" s="13" t="s">
        <v>13</v>
      </c>
      <c r="D11" s="13" t="s">
        <v>180</v>
      </c>
      <c r="E11" s="13" t="s">
        <v>181</v>
      </c>
      <c r="F11" s="12" t="s">
        <v>13</v>
      </c>
    </row>
    <row r="12" spans="1:6" x14ac:dyDescent="0.3">
      <c r="A12" s="11" t="s">
        <v>167</v>
      </c>
      <c r="B12" s="12" t="s">
        <v>182</v>
      </c>
      <c r="C12" s="13" t="s">
        <v>183</v>
      </c>
      <c r="D12" s="13" t="s">
        <v>184</v>
      </c>
      <c r="E12" s="13" t="s">
        <v>12</v>
      </c>
      <c r="F12" s="12" t="s">
        <v>13</v>
      </c>
    </row>
    <row r="13" spans="1:6" x14ac:dyDescent="0.3">
      <c r="A13" s="11" t="s">
        <v>167</v>
      </c>
      <c r="B13" s="12" t="s">
        <v>185</v>
      </c>
      <c r="C13" s="13" t="s">
        <v>13</v>
      </c>
      <c r="D13" s="13" t="s">
        <v>186</v>
      </c>
      <c r="E13" s="13" t="s">
        <v>12</v>
      </c>
      <c r="F13" s="12" t="s">
        <v>13</v>
      </c>
    </row>
    <row r="14" spans="1:6" x14ac:dyDescent="0.3">
      <c r="A14" s="11" t="s">
        <v>167</v>
      </c>
      <c r="B14" s="12" t="s">
        <v>187</v>
      </c>
      <c r="C14" s="13" t="s">
        <v>13</v>
      </c>
      <c r="D14" s="13" t="s">
        <v>188</v>
      </c>
      <c r="E14" s="13" t="s">
        <v>12</v>
      </c>
      <c r="F14" s="12" t="s">
        <v>13</v>
      </c>
    </row>
    <row r="15" spans="1:6" x14ac:dyDescent="0.3">
      <c r="A15" s="11" t="s">
        <v>167</v>
      </c>
      <c r="B15" s="12" t="s">
        <v>189</v>
      </c>
      <c r="C15" s="13" t="s">
        <v>13</v>
      </c>
      <c r="D15" s="13" t="s">
        <v>190</v>
      </c>
      <c r="E15" s="13" t="s">
        <v>12</v>
      </c>
      <c r="F15" s="12" t="s">
        <v>13</v>
      </c>
    </row>
    <row r="16" spans="1:6" x14ac:dyDescent="0.3">
      <c r="A16" s="11" t="s">
        <v>167</v>
      </c>
      <c r="B16" s="12" t="s">
        <v>191</v>
      </c>
      <c r="C16" s="13" t="s">
        <v>192</v>
      </c>
      <c r="D16" s="13" t="s">
        <v>184</v>
      </c>
      <c r="E16" s="13" t="s">
        <v>12</v>
      </c>
      <c r="F16" s="12" t="s">
        <v>13</v>
      </c>
    </row>
  </sheetData>
  <autoFilter ref="A4:F16" xr:uid="{00000000-0009-0000-0000-000002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showGridLines="0" zoomScaleNormal="100" workbookViewId="0"/>
  </sheetViews>
  <sheetFormatPr baseColWidth="10" defaultColWidth="8.6640625" defaultRowHeight="14.4" x14ac:dyDescent="0.3"/>
  <cols>
    <col min="1" max="2" width="22" customWidth="1"/>
    <col min="3" max="3" width="12" customWidth="1"/>
    <col min="4" max="4" width="14" customWidth="1"/>
    <col min="5" max="6" width="12" customWidth="1"/>
    <col min="7" max="7" width="14" customWidth="1"/>
  </cols>
  <sheetData>
    <row r="1" spans="1:7" ht="25.5" customHeight="1" x14ac:dyDescent="0.3">
      <c r="A1" s="7" t="str">
        <f>CONCATENATE("Informe de higiene ocupacional — ",B5)</f>
        <v>Informe de higiene ocupacional — SAFEHAND S.A.S.</v>
      </c>
      <c r="B1" s="7"/>
      <c r="C1" s="7"/>
      <c r="D1" s="7"/>
      <c r="E1" s="7"/>
      <c r="F1" s="7"/>
      <c r="G1" s="7"/>
    </row>
    <row r="2" spans="1:7" ht="15" customHeight="1" x14ac:dyDescent="0.3">
      <c r="A2" s="6" t="s">
        <v>193</v>
      </c>
      <c r="B2" s="6"/>
      <c r="C2" s="6"/>
      <c r="D2" s="6"/>
      <c r="E2" s="6"/>
      <c r="F2" s="6"/>
      <c r="G2" s="6"/>
    </row>
    <row r="4" spans="1:7" ht="19.5" customHeight="1" x14ac:dyDescent="0.3">
      <c r="A4" s="5" t="s">
        <v>194</v>
      </c>
      <c r="B4" s="5"/>
      <c r="C4" s="5"/>
      <c r="D4" s="5"/>
      <c r="E4" s="5"/>
      <c r="F4" s="5"/>
      <c r="G4" s="5"/>
    </row>
    <row r="5" spans="1:7" ht="15" customHeight="1" x14ac:dyDescent="0.3">
      <c r="A5" s="19" t="s">
        <v>195</v>
      </c>
      <c r="B5" s="4" t="s">
        <v>196</v>
      </c>
      <c r="C5" s="4"/>
      <c r="D5" s="19" t="s">
        <v>197</v>
      </c>
      <c r="E5" s="4" t="s">
        <v>198</v>
      </c>
      <c r="F5" s="4"/>
      <c r="G5" s="4"/>
    </row>
    <row r="6" spans="1:7" ht="15" customHeight="1" x14ac:dyDescent="0.3">
      <c r="A6" s="19" t="s">
        <v>199</v>
      </c>
      <c r="B6" s="4" t="s">
        <v>200</v>
      </c>
      <c r="C6" s="4"/>
      <c r="D6" s="19" t="s">
        <v>201</v>
      </c>
      <c r="E6" s="4" t="s">
        <v>202</v>
      </c>
      <c r="F6" s="4"/>
      <c r="G6" s="4"/>
    </row>
    <row r="7" spans="1:7" ht="15" customHeight="1" x14ac:dyDescent="0.3">
      <c r="A7" s="19" t="s">
        <v>203</v>
      </c>
      <c r="B7" s="4" t="s">
        <v>204</v>
      </c>
      <c r="C7" s="4"/>
      <c r="D7" s="19" t="s">
        <v>205</v>
      </c>
      <c r="E7" s="4" t="s">
        <v>206</v>
      </c>
      <c r="F7" s="4"/>
      <c r="G7" s="4"/>
    </row>
    <row r="8" spans="1:7" ht="15" customHeight="1" x14ac:dyDescent="0.3">
      <c r="A8" s="19" t="s">
        <v>207</v>
      </c>
      <c r="B8" s="4" t="s">
        <v>208</v>
      </c>
      <c r="C8" s="4"/>
      <c r="D8" s="19" t="s">
        <v>209</v>
      </c>
      <c r="E8" s="4" t="s">
        <v>210</v>
      </c>
      <c r="F8" s="4"/>
      <c r="G8" s="4"/>
    </row>
    <row r="9" spans="1:7" ht="15" customHeight="1" x14ac:dyDescent="0.3">
      <c r="A9" s="19" t="s">
        <v>211</v>
      </c>
      <c r="B9" s="4" t="s">
        <v>212</v>
      </c>
      <c r="C9" s="4"/>
      <c r="D9" s="19" t="s">
        <v>213</v>
      </c>
      <c r="E9" s="4" t="s">
        <v>214</v>
      </c>
      <c r="F9" s="4"/>
      <c r="G9" s="4"/>
    </row>
    <row r="10" spans="1:7" ht="15" customHeight="1" x14ac:dyDescent="0.3">
      <c r="A10" s="19" t="s">
        <v>215</v>
      </c>
      <c r="B10" s="4" t="s">
        <v>216</v>
      </c>
      <c r="C10" s="4"/>
      <c r="D10" s="19" t="s">
        <v>217</v>
      </c>
      <c r="E10" s="4" t="s">
        <v>218</v>
      </c>
      <c r="F10" s="4"/>
      <c r="G10" s="4"/>
    </row>
    <row r="12" spans="1:7" ht="19.5" customHeight="1" x14ac:dyDescent="0.3">
      <c r="A12" s="5" t="s">
        <v>219</v>
      </c>
      <c r="B12" s="5"/>
      <c r="C12" s="5"/>
      <c r="D12" s="5"/>
      <c r="E12" s="5"/>
      <c r="F12" s="5"/>
      <c r="G12" s="5"/>
    </row>
    <row r="13" spans="1:7" ht="23.85" customHeight="1" x14ac:dyDescent="0.3">
      <c r="A13" s="19" t="s">
        <v>220</v>
      </c>
      <c r="B13" s="4" t="s">
        <v>221</v>
      </c>
      <c r="C13" s="4"/>
      <c r="D13" s="19" t="s">
        <v>222</v>
      </c>
      <c r="E13" s="4" t="s">
        <v>223</v>
      </c>
      <c r="F13" s="4"/>
      <c r="G13" s="4"/>
    </row>
    <row r="14" spans="1:7" ht="15" customHeight="1" x14ac:dyDescent="0.3">
      <c r="A14" s="19" t="s">
        <v>224</v>
      </c>
      <c r="B14" s="4" t="s">
        <v>225</v>
      </c>
      <c r="C14" s="4"/>
      <c r="D14" s="19" t="s">
        <v>226</v>
      </c>
      <c r="E14" s="4" t="s">
        <v>227</v>
      </c>
      <c r="F14" s="4"/>
      <c r="G14" s="4"/>
    </row>
    <row r="15" spans="1:7" ht="15" customHeight="1" x14ac:dyDescent="0.3">
      <c r="A15" s="19" t="s">
        <v>9</v>
      </c>
      <c r="B15" s="4" t="s">
        <v>228</v>
      </c>
      <c r="C15" s="4"/>
      <c r="D15" s="19" t="s">
        <v>229</v>
      </c>
      <c r="E15" s="4" t="s">
        <v>230</v>
      </c>
      <c r="F15" s="4"/>
      <c r="G15" s="4"/>
    </row>
    <row r="17" spans="1:7" ht="19.5" customHeight="1" x14ac:dyDescent="0.3">
      <c r="A17" s="5" t="s">
        <v>231</v>
      </c>
      <c r="B17" s="5"/>
      <c r="C17" s="5"/>
      <c r="D17" s="5"/>
      <c r="E17" s="5"/>
      <c r="F17" s="5"/>
      <c r="G17" s="5"/>
    </row>
    <row r="18" spans="1:7" x14ac:dyDescent="0.3">
      <c r="A18" s="21" t="s">
        <v>232</v>
      </c>
      <c r="B18" s="3" t="s">
        <v>233</v>
      </c>
      <c r="C18" s="3"/>
      <c r="D18" s="21" t="s">
        <v>234</v>
      </c>
      <c r="E18" s="21" t="s">
        <v>235</v>
      </c>
      <c r="F18" s="21" t="s">
        <v>236</v>
      </c>
      <c r="G18" s="21" t="s">
        <v>237</v>
      </c>
    </row>
    <row r="19" spans="1:7" ht="15" customHeight="1" x14ac:dyDescent="0.3">
      <c r="A19" s="12" t="s">
        <v>26</v>
      </c>
      <c r="B19" s="2" t="s">
        <v>238</v>
      </c>
      <c r="C19" s="2"/>
      <c r="D19" s="22">
        <v>485</v>
      </c>
      <c r="E19" s="22">
        <v>500</v>
      </c>
      <c r="F19" s="22" t="s">
        <v>239</v>
      </c>
      <c r="G19" s="23" t="str">
        <f>IF(F19="max",IF(D19&lt;=E19,"Cumple","No cumple"),IF(D19&gt;=E19,"Cumple","No cumple"))</f>
        <v>No cumple</v>
      </c>
    </row>
    <row r="20" spans="1:7" ht="15" customHeight="1" x14ac:dyDescent="0.3">
      <c r="A20" s="12" t="s">
        <v>32</v>
      </c>
      <c r="B20" s="2" t="s">
        <v>240</v>
      </c>
      <c r="C20" s="2"/>
      <c r="D20" s="22">
        <v>82</v>
      </c>
      <c r="E20" s="22">
        <v>85</v>
      </c>
      <c r="F20" s="22" t="s">
        <v>241</v>
      </c>
      <c r="G20" s="23" t="str">
        <f>IF(F20="max",IF(D20&lt;=E20,"Cumple","No cumple"),IF(D20&gt;=E20,"Cumple","No cumple"))</f>
        <v>Cumple</v>
      </c>
    </row>
    <row r="21" spans="1:7" ht="15" customHeight="1" x14ac:dyDescent="0.3">
      <c r="A21" s="12" t="s">
        <v>37</v>
      </c>
      <c r="B21" s="2" t="s">
        <v>242</v>
      </c>
      <c r="C21" s="2"/>
      <c r="D21" s="22">
        <v>29.1</v>
      </c>
      <c r="E21" s="22">
        <v>28</v>
      </c>
      <c r="F21" s="22" t="s">
        <v>241</v>
      </c>
      <c r="G21" s="23" t="str">
        <f>IF(F21="max",IF(D21&lt;=E21,"Cumple","No cumple"),IF(D21&gt;=E21,"Cumple","No cumple"))</f>
        <v>No cumple</v>
      </c>
    </row>
    <row r="22" spans="1:7" ht="15" customHeight="1" x14ac:dyDescent="0.3">
      <c r="A22" s="12" t="s">
        <v>42</v>
      </c>
      <c r="B22" s="2" t="s">
        <v>43</v>
      </c>
      <c r="C22" s="2"/>
      <c r="D22" s="22">
        <v>1.2</v>
      </c>
      <c r="E22" s="22">
        <v>3</v>
      </c>
      <c r="F22" s="22" t="s">
        <v>241</v>
      </c>
      <c r="G22" s="23" t="str">
        <f>IF(F22="max",IF(D22&lt;=E22,"Cumple","No cumple"),IF(D22&gt;=E22,"Cumple","No cumple"))</f>
        <v>Cumple</v>
      </c>
    </row>
    <row r="23" spans="1:7" ht="15" customHeight="1" x14ac:dyDescent="0.3">
      <c r="A23" s="12" t="s">
        <v>47</v>
      </c>
      <c r="B23" s="2" t="s">
        <v>243</v>
      </c>
      <c r="C23" s="2"/>
      <c r="D23" s="22">
        <v>1.8</v>
      </c>
      <c r="E23" s="22">
        <v>2.5</v>
      </c>
      <c r="F23" s="22" t="s">
        <v>241</v>
      </c>
      <c r="G23" s="23" t="str">
        <f>IF(F23="max",IF(D23&lt;=E23,"Cumple","No cumple"),IF(D23&gt;=E23,"Cumple","No cumple"))</f>
        <v>Cumple</v>
      </c>
    </row>
    <row r="25" spans="1:7" ht="19.5" customHeight="1" x14ac:dyDescent="0.3">
      <c r="A25" s="5" t="s">
        <v>244</v>
      </c>
      <c r="B25" s="5"/>
      <c r="C25" s="5"/>
      <c r="D25" s="5"/>
      <c r="E25" s="5"/>
      <c r="F25" s="5"/>
      <c r="G25" s="5"/>
    </row>
    <row r="26" spans="1:7" x14ac:dyDescent="0.3">
      <c r="A26" s="21" t="s">
        <v>245</v>
      </c>
      <c r="B26" s="3" t="s">
        <v>246</v>
      </c>
      <c r="C26" s="3"/>
      <c r="D26" s="3" t="s">
        <v>247</v>
      </c>
      <c r="E26" s="3"/>
      <c r="F26" s="3" t="s">
        <v>237</v>
      </c>
      <c r="G26" s="3"/>
    </row>
    <row r="27" spans="1:7" ht="15" customHeight="1" x14ac:dyDescent="0.3">
      <c r="A27" s="20" t="s">
        <v>248</v>
      </c>
      <c r="B27" s="4" t="s">
        <v>249</v>
      </c>
      <c r="C27" s="4"/>
      <c r="D27" s="4" t="s">
        <v>37</v>
      </c>
      <c r="E27" s="4"/>
      <c r="F27" s="4" t="s">
        <v>250</v>
      </c>
      <c r="G27" s="4"/>
    </row>
    <row r="28" spans="1:7" ht="15" customHeight="1" x14ac:dyDescent="0.3">
      <c r="A28" s="20" t="s">
        <v>248</v>
      </c>
      <c r="B28" s="4" t="s">
        <v>251</v>
      </c>
      <c r="C28" s="4"/>
      <c r="D28" s="4" t="s">
        <v>26</v>
      </c>
      <c r="E28" s="4"/>
      <c r="F28" s="4" t="s">
        <v>250</v>
      </c>
      <c r="G28" s="4"/>
    </row>
    <row r="29" spans="1:7" ht="23.85" customHeight="1" x14ac:dyDescent="0.3">
      <c r="A29" s="20" t="s">
        <v>252</v>
      </c>
      <c r="B29" s="4" t="s">
        <v>253</v>
      </c>
      <c r="C29" s="4"/>
      <c r="D29" s="4" t="s">
        <v>32</v>
      </c>
      <c r="E29" s="4"/>
      <c r="F29" s="4" t="s">
        <v>254</v>
      </c>
      <c r="G29" s="4"/>
    </row>
    <row r="31" spans="1:7" ht="19.5" customHeight="1" x14ac:dyDescent="0.3">
      <c r="A31" s="5" t="s">
        <v>255</v>
      </c>
      <c r="B31" s="5"/>
      <c r="C31" s="5"/>
      <c r="D31" s="5"/>
      <c r="E31" s="5"/>
      <c r="F31" s="5"/>
      <c r="G31" s="5"/>
    </row>
    <row r="32" spans="1:7" x14ac:dyDescent="0.3">
      <c r="A32" s="21" t="s">
        <v>245</v>
      </c>
      <c r="B32" s="3" t="s">
        <v>256</v>
      </c>
      <c r="C32" s="3"/>
      <c r="D32" s="3"/>
      <c r="E32" s="3"/>
      <c r="F32" s="3" t="s">
        <v>257</v>
      </c>
      <c r="G32" s="3"/>
    </row>
    <row r="33" spans="1:7" ht="15" customHeight="1" x14ac:dyDescent="0.3">
      <c r="A33" s="20" t="s">
        <v>248</v>
      </c>
      <c r="B33" s="4" t="s">
        <v>258</v>
      </c>
      <c r="C33" s="4"/>
      <c r="D33" s="4"/>
      <c r="E33" s="4"/>
      <c r="F33" s="4" t="s">
        <v>259</v>
      </c>
      <c r="G33" s="4"/>
    </row>
    <row r="34" spans="1:7" ht="15" customHeight="1" x14ac:dyDescent="0.3">
      <c r="A34" s="20" t="s">
        <v>252</v>
      </c>
      <c r="B34" s="4" t="s">
        <v>260</v>
      </c>
      <c r="C34" s="4"/>
      <c r="D34" s="4"/>
      <c r="E34" s="4"/>
      <c r="F34" s="4" t="s">
        <v>225</v>
      </c>
      <c r="G34" s="4"/>
    </row>
    <row r="35" spans="1:7" ht="15" customHeight="1" x14ac:dyDescent="0.3">
      <c r="A35" s="20" t="s">
        <v>252</v>
      </c>
      <c r="B35" s="4" t="s">
        <v>261</v>
      </c>
      <c r="C35" s="4"/>
      <c r="D35" s="4"/>
      <c r="E35" s="4"/>
      <c r="F35" s="4" t="s">
        <v>225</v>
      </c>
      <c r="G35" s="4"/>
    </row>
    <row r="37" spans="1:7" ht="19.5" customHeight="1" x14ac:dyDescent="0.3">
      <c r="A37" s="5" t="s">
        <v>262</v>
      </c>
      <c r="B37" s="5"/>
      <c r="C37" s="5"/>
      <c r="D37" s="5"/>
      <c r="E37" s="5"/>
      <c r="F37" s="5"/>
      <c r="G37" s="5"/>
    </row>
    <row r="38" spans="1:7" x14ac:dyDescent="0.3">
      <c r="A38" s="19" t="s">
        <v>263</v>
      </c>
      <c r="B38" s="24" t="str">
        <f>B10</f>
        <v>Roger Pérez / SG-SST</v>
      </c>
    </row>
    <row r="39" spans="1:7" x14ac:dyDescent="0.3">
      <c r="A39" s="19" t="s">
        <v>264</v>
      </c>
      <c r="B39" s="24" t="str">
        <f>E9</f>
        <v>31/05/2025</v>
      </c>
    </row>
    <row r="41" spans="1:7" ht="26.4" x14ac:dyDescent="0.3">
      <c r="A41" s="25" t="s">
        <v>265</v>
      </c>
    </row>
    <row r="42" spans="1:7" x14ac:dyDescent="0.3">
      <c r="A42" s="26" t="s">
        <v>266</v>
      </c>
    </row>
    <row r="44" spans="1:7" ht="15" customHeight="1" x14ac:dyDescent="0.3">
      <c r="A44" s="1" t="s">
        <v>267</v>
      </c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</sheetData>
  <mergeCells count="53">
    <mergeCell ref="A37:G37"/>
    <mergeCell ref="A44:G45"/>
    <mergeCell ref="B33:E33"/>
    <mergeCell ref="F33:G33"/>
    <mergeCell ref="B34:E34"/>
    <mergeCell ref="F34:G34"/>
    <mergeCell ref="B35:E35"/>
    <mergeCell ref="F35:G35"/>
    <mergeCell ref="B29:C29"/>
    <mergeCell ref="D29:E29"/>
    <mergeCell ref="F29:G29"/>
    <mergeCell ref="A31:G31"/>
    <mergeCell ref="B32:E32"/>
    <mergeCell ref="F32:G32"/>
    <mergeCell ref="B27:C27"/>
    <mergeCell ref="D27:E27"/>
    <mergeCell ref="F27:G27"/>
    <mergeCell ref="B28:C28"/>
    <mergeCell ref="D28:E28"/>
    <mergeCell ref="F28:G28"/>
    <mergeCell ref="B22:C22"/>
    <mergeCell ref="B23:C23"/>
    <mergeCell ref="A25:G25"/>
    <mergeCell ref="B26:C26"/>
    <mergeCell ref="D26:E26"/>
    <mergeCell ref="F26:G26"/>
    <mergeCell ref="A17:G17"/>
    <mergeCell ref="B18:C18"/>
    <mergeCell ref="B19:C19"/>
    <mergeCell ref="B20:C20"/>
    <mergeCell ref="B21:C21"/>
    <mergeCell ref="B13:C13"/>
    <mergeCell ref="E13:G13"/>
    <mergeCell ref="B14:C14"/>
    <mergeCell ref="E14:G14"/>
    <mergeCell ref="B15:C15"/>
    <mergeCell ref="E15:G15"/>
    <mergeCell ref="B9:C9"/>
    <mergeCell ref="E9:G9"/>
    <mergeCell ref="B10:C10"/>
    <mergeCell ref="E10:G10"/>
    <mergeCell ref="A12:G12"/>
    <mergeCell ref="B6:C6"/>
    <mergeCell ref="E6:G6"/>
    <mergeCell ref="B7:C7"/>
    <mergeCell ref="E7:G7"/>
    <mergeCell ref="B8:C8"/>
    <mergeCell ref="E8:G8"/>
    <mergeCell ref="A1:G1"/>
    <mergeCell ref="A2:G2"/>
    <mergeCell ref="A4:G4"/>
    <mergeCell ref="B5:C5"/>
    <mergeCell ref="E5:G5"/>
  </mergeCells>
  <conditionalFormatting sqref="G19:G23">
    <cfRule type="cellIs" dxfId="11" priority="2" operator="equal">
      <formula>"Cumple"</formula>
    </cfRule>
    <cfRule type="cellIs" dxfId="10" priority="3" operator="equal">
      <formula>"No cumple"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66"/>
  <sheetViews>
    <sheetView showGridLines="0" zoomScaleNormal="100" workbookViewId="0"/>
  </sheetViews>
  <sheetFormatPr baseColWidth="10" defaultColWidth="8.6640625" defaultRowHeight="14.4" x14ac:dyDescent="0.3"/>
  <cols>
    <col min="1" max="1" width="30" customWidth="1"/>
    <col min="2" max="2" width="10" customWidth="1"/>
    <col min="3" max="4" width="12" customWidth="1"/>
    <col min="5" max="5" width="22" customWidth="1"/>
    <col min="6" max="6" width="8" customWidth="1"/>
    <col min="7" max="7" width="14" customWidth="1"/>
  </cols>
  <sheetData>
    <row r="1" spans="1:7" ht="25.5" customHeight="1" x14ac:dyDescent="0.3">
      <c r="A1" s="7" t="str">
        <f>CONCATENATE("Anexo técnico de mediciones — ",'Reporte Hoja 1'!B5)</f>
        <v>Anexo técnico de mediciones — SAFEHAND S.A.S.</v>
      </c>
      <c r="B1" s="7"/>
      <c r="C1" s="7"/>
      <c r="D1" s="7"/>
      <c r="E1" s="7"/>
      <c r="F1" s="7"/>
      <c r="G1" s="7"/>
    </row>
    <row r="2" spans="1:7" ht="15" customHeight="1" x14ac:dyDescent="0.3">
      <c r="A2" s="6" t="s">
        <v>268</v>
      </c>
      <c r="B2" s="6"/>
      <c r="C2" s="6"/>
      <c r="D2" s="6"/>
      <c r="E2" s="6"/>
      <c r="F2" s="6"/>
      <c r="G2" s="6"/>
    </row>
    <row r="4" spans="1:7" ht="19.5" customHeight="1" x14ac:dyDescent="0.3">
      <c r="A4" s="5" t="s">
        <v>269</v>
      </c>
      <c r="B4" s="5"/>
      <c r="C4" s="5"/>
      <c r="D4" s="5"/>
      <c r="E4" s="5"/>
      <c r="F4" s="5"/>
      <c r="G4" s="5"/>
    </row>
    <row r="5" spans="1:7" x14ac:dyDescent="0.3">
      <c r="A5" s="19" t="s">
        <v>270</v>
      </c>
      <c r="B5" s="2" t="str">
        <f>'Reporte Hoja 1'!B5</f>
        <v>SAFEHAND S.A.S.</v>
      </c>
      <c r="C5" s="2"/>
      <c r="D5" s="19" t="s">
        <v>207</v>
      </c>
      <c r="E5" s="2" t="str">
        <f>'Reporte Hoja 1'!B8</f>
        <v>Planta principal</v>
      </c>
      <c r="F5" s="2"/>
      <c r="G5" s="2"/>
    </row>
    <row r="6" spans="1:7" x14ac:dyDescent="0.3">
      <c r="A6" s="19" t="s">
        <v>271</v>
      </c>
      <c r="B6" s="2" t="str">
        <f>'Reporte Hoja 1'!B9</f>
        <v>01/05/2025 – 31/05/2025</v>
      </c>
      <c r="C6" s="2"/>
      <c r="D6" s="19" t="s">
        <v>217</v>
      </c>
      <c r="E6" s="2" t="str">
        <f>'Reporte Hoja 1'!E10</f>
        <v>RM-2025-05-01</v>
      </c>
      <c r="F6" s="2"/>
      <c r="G6" s="2"/>
    </row>
    <row r="7" spans="1:7" x14ac:dyDescent="0.3">
      <c r="A7" s="19" t="s">
        <v>215</v>
      </c>
      <c r="B7" s="2" t="str">
        <f>'Reporte Hoja 1'!B10</f>
        <v>Roger Pérez / SG-SST</v>
      </c>
      <c r="C7" s="2"/>
      <c r="D7" s="19" t="s">
        <v>213</v>
      </c>
      <c r="E7" s="2" t="str">
        <f>'Reporte Hoja 1'!E9</f>
        <v>31/05/2025</v>
      </c>
      <c r="F7" s="2"/>
      <c r="G7" s="2"/>
    </row>
    <row r="9" spans="1:7" ht="19.5" customHeight="1" x14ac:dyDescent="0.3">
      <c r="A9" s="5" t="s">
        <v>26</v>
      </c>
      <c r="B9" s="5"/>
      <c r="C9" s="5"/>
      <c r="D9" s="5"/>
      <c r="E9" s="5"/>
      <c r="F9" s="5"/>
      <c r="G9" s="5"/>
    </row>
    <row r="10" spans="1:7" x14ac:dyDescent="0.3">
      <c r="A10" s="21" t="s">
        <v>247</v>
      </c>
      <c r="B10" s="21" t="s">
        <v>272</v>
      </c>
      <c r="C10" s="21" t="s">
        <v>234</v>
      </c>
      <c r="D10" s="21" t="s">
        <v>5</v>
      </c>
      <c r="E10" s="21" t="s">
        <v>273</v>
      </c>
      <c r="F10" s="21" t="s">
        <v>274</v>
      </c>
      <c r="G10" s="21" t="s">
        <v>237</v>
      </c>
    </row>
    <row r="11" spans="1:7" x14ac:dyDescent="0.3">
      <c r="A11" s="12" t="s">
        <v>54</v>
      </c>
      <c r="B11" s="27" t="s">
        <v>28</v>
      </c>
      <c r="C11" s="22">
        <v>485</v>
      </c>
      <c r="D11" s="27" t="s">
        <v>29</v>
      </c>
      <c r="E11" s="12" t="s">
        <v>31</v>
      </c>
      <c r="F11" s="27" t="s">
        <v>128</v>
      </c>
      <c r="G11" s="22" t="s">
        <v>275</v>
      </c>
    </row>
    <row r="12" spans="1:7" x14ac:dyDescent="0.3">
      <c r="A12" s="12" t="s">
        <v>276</v>
      </c>
      <c r="B12" s="27" t="s">
        <v>59</v>
      </c>
      <c r="C12" s="22">
        <v>410</v>
      </c>
      <c r="D12" s="27" t="s">
        <v>29</v>
      </c>
      <c r="E12" s="12" t="s">
        <v>13</v>
      </c>
      <c r="F12" s="27" t="s">
        <v>128</v>
      </c>
      <c r="G12" s="22" t="s">
        <v>13</v>
      </c>
    </row>
    <row r="13" spans="1:7" x14ac:dyDescent="0.3">
      <c r="A13" s="12" t="s">
        <v>277</v>
      </c>
      <c r="B13" s="27" t="s">
        <v>59</v>
      </c>
      <c r="C13" s="22">
        <v>460</v>
      </c>
      <c r="D13" s="27" t="s">
        <v>29</v>
      </c>
      <c r="E13" s="12" t="s">
        <v>13</v>
      </c>
      <c r="F13" s="27" t="s">
        <v>128</v>
      </c>
      <c r="G13" s="22" t="s">
        <v>13</v>
      </c>
    </row>
    <row r="14" spans="1:7" x14ac:dyDescent="0.3">
      <c r="A14" s="12" t="s">
        <v>278</v>
      </c>
      <c r="B14" s="27" t="s">
        <v>59</v>
      </c>
      <c r="C14" s="22">
        <v>485</v>
      </c>
      <c r="D14" s="27" t="s">
        <v>29</v>
      </c>
      <c r="E14" s="12" t="s">
        <v>13</v>
      </c>
      <c r="F14" s="27" t="s">
        <v>128</v>
      </c>
      <c r="G14" s="22" t="s">
        <v>13</v>
      </c>
    </row>
    <row r="15" spans="1:7" x14ac:dyDescent="0.3">
      <c r="A15" s="12" t="s">
        <v>279</v>
      </c>
      <c r="B15" s="27" t="s">
        <v>66</v>
      </c>
      <c r="C15" s="22">
        <v>0.28000000000000003</v>
      </c>
      <c r="D15" s="27" t="s">
        <v>13</v>
      </c>
      <c r="E15" s="12" t="s">
        <v>280</v>
      </c>
      <c r="F15" s="27" t="s">
        <v>281</v>
      </c>
      <c r="G15" s="22" t="s">
        <v>282</v>
      </c>
    </row>
    <row r="16" spans="1:7" x14ac:dyDescent="0.3">
      <c r="A16" s="12" t="s">
        <v>283</v>
      </c>
      <c r="B16" s="27" t="s">
        <v>66</v>
      </c>
      <c r="C16" s="22">
        <v>0.52</v>
      </c>
      <c r="D16" s="27" t="s">
        <v>13</v>
      </c>
      <c r="E16" s="12" t="s">
        <v>284</v>
      </c>
      <c r="F16" s="27" t="s">
        <v>281</v>
      </c>
      <c r="G16" s="22" t="s">
        <v>282</v>
      </c>
    </row>
    <row r="17" spans="1:7" x14ac:dyDescent="0.3">
      <c r="A17" s="12" t="s">
        <v>285</v>
      </c>
      <c r="B17" s="27" t="s">
        <v>66</v>
      </c>
      <c r="C17" s="22">
        <v>0.78</v>
      </c>
      <c r="D17" s="27" t="s">
        <v>13</v>
      </c>
      <c r="E17" s="12" t="s">
        <v>286</v>
      </c>
      <c r="F17" s="27" t="s">
        <v>281</v>
      </c>
      <c r="G17" s="22" t="s">
        <v>282</v>
      </c>
    </row>
    <row r="18" spans="1:7" x14ac:dyDescent="0.3">
      <c r="A18" s="12" t="s">
        <v>62</v>
      </c>
      <c r="B18" s="27" t="s">
        <v>63</v>
      </c>
      <c r="C18" s="22">
        <v>0.72</v>
      </c>
      <c r="D18" s="27" t="s">
        <v>13</v>
      </c>
      <c r="E18" s="12" t="s">
        <v>64</v>
      </c>
      <c r="F18" s="27" t="s">
        <v>281</v>
      </c>
      <c r="G18" s="22" t="s">
        <v>282</v>
      </c>
    </row>
    <row r="19" spans="1:7" x14ac:dyDescent="0.3">
      <c r="A19" s="12" t="s">
        <v>71</v>
      </c>
      <c r="B19" s="27" t="s">
        <v>72</v>
      </c>
      <c r="C19" s="22">
        <v>19</v>
      </c>
      <c r="D19" s="27" t="s">
        <v>13</v>
      </c>
      <c r="E19" s="12" t="s">
        <v>73</v>
      </c>
      <c r="F19" s="27" t="s">
        <v>281</v>
      </c>
      <c r="G19" s="22" t="s">
        <v>282</v>
      </c>
    </row>
    <row r="20" spans="1:7" x14ac:dyDescent="0.3">
      <c r="A20" s="12" t="s">
        <v>287</v>
      </c>
      <c r="B20" s="27" t="s">
        <v>69</v>
      </c>
      <c r="C20" s="22">
        <v>180</v>
      </c>
      <c r="D20" s="27" t="s">
        <v>70</v>
      </c>
      <c r="E20" s="12" t="s">
        <v>13</v>
      </c>
      <c r="F20" s="27" t="s">
        <v>128</v>
      </c>
      <c r="G20" s="22" t="s">
        <v>288</v>
      </c>
    </row>
    <row r="21" spans="1:7" x14ac:dyDescent="0.3">
      <c r="A21" s="12" t="s">
        <v>60</v>
      </c>
      <c r="B21" s="27" t="s">
        <v>61</v>
      </c>
      <c r="C21" s="22">
        <v>210</v>
      </c>
      <c r="D21" s="27" t="s">
        <v>29</v>
      </c>
      <c r="E21" s="12" t="s">
        <v>13</v>
      </c>
      <c r="F21" s="27" t="s">
        <v>281</v>
      </c>
      <c r="G21" s="22" t="s">
        <v>288</v>
      </c>
    </row>
    <row r="22" spans="1:7" ht="19.5" customHeight="1" x14ac:dyDescent="0.3">
      <c r="A22" s="5" t="s">
        <v>32</v>
      </c>
      <c r="B22" s="5"/>
      <c r="C22" s="5"/>
      <c r="D22" s="5"/>
      <c r="E22" s="5"/>
      <c r="F22" s="5"/>
      <c r="G22" s="5"/>
    </row>
    <row r="23" spans="1:7" x14ac:dyDescent="0.3">
      <c r="A23" s="21" t="s">
        <v>247</v>
      </c>
      <c r="B23" s="21" t="s">
        <v>272</v>
      </c>
      <c r="C23" s="21" t="s">
        <v>234</v>
      </c>
      <c r="D23" s="21" t="s">
        <v>5</v>
      </c>
      <c r="E23" s="21" t="s">
        <v>273</v>
      </c>
      <c r="F23" s="21" t="s">
        <v>274</v>
      </c>
      <c r="G23" s="21" t="s">
        <v>237</v>
      </c>
    </row>
    <row r="24" spans="1:7" x14ac:dyDescent="0.3">
      <c r="A24" s="12" t="s">
        <v>82</v>
      </c>
      <c r="B24" s="27" t="s">
        <v>83</v>
      </c>
      <c r="C24" s="22">
        <v>82.4</v>
      </c>
      <c r="D24" s="27" t="s">
        <v>35</v>
      </c>
      <c r="E24" s="12" t="s">
        <v>36</v>
      </c>
      <c r="F24" s="27" t="s">
        <v>128</v>
      </c>
      <c r="G24" s="22" t="s">
        <v>282</v>
      </c>
    </row>
    <row r="25" spans="1:7" x14ac:dyDescent="0.3">
      <c r="A25" s="12" t="s">
        <v>84</v>
      </c>
      <c r="B25" s="27" t="s">
        <v>85</v>
      </c>
      <c r="C25" s="22">
        <v>118</v>
      </c>
      <c r="D25" s="27" t="s">
        <v>86</v>
      </c>
      <c r="E25" s="12" t="s">
        <v>87</v>
      </c>
      <c r="F25" s="27" t="s">
        <v>128</v>
      </c>
      <c r="G25" s="22" t="s">
        <v>282</v>
      </c>
    </row>
    <row r="26" spans="1:7" x14ac:dyDescent="0.3">
      <c r="A26" s="12" t="s">
        <v>289</v>
      </c>
      <c r="B26" s="27" t="s">
        <v>95</v>
      </c>
      <c r="C26" s="22" t="s">
        <v>290</v>
      </c>
      <c r="D26" s="27" t="s">
        <v>81</v>
      </c>
      <c r="E26" s="12" t="s">
        <v>97</v>
      </c>
      <c r="F26" s="27" t="s">
        <v>128</v>
      </c>
      <c r="G26" s="22" t="s">
        <v>288</v>
      </c>
    </row>
    <row r="27" spans="1:7" x14ac:dyDescent="0.3">
      <c r="A27" s="12" t="s">
        <v>291</v>
      </c>
      <c r="B27" s="27" t="s">
        <v>292</v>
      </c>
      <c r="C27" s="22">
        <v>88</v>
      </c>
      <c r="D27" s="27" t="s">
        <v>35</v>
      </c>
      <c r="E27" s="12" t="s">
        <v>13</v>
      </c>
      <c r="F27" s="27" t="s">
        <v>281</v>
      </c>
      <c r="G27" s="22" t="s">
        <v>288</v>
      </c>
    </row>
    <row r="28" spans="1:7" x14ac:dyDescent="0.3">
      <c r="A28" s="12" t="s">
        <v>293</v>
      </c>
      <c r="B28" s="27" t="s">
        <v>294</v>
      </c>
      <c r="C28" s="22">
        <v>80</v>
      </c>
      <c r="D28" s="27" t="s">
        <v>35</v>
      </c>
      <c r="E28" s="12" t="s">
        <v>13</v>
      </c>
      <c r="F28" s="27" t="s">
        <v>281</v>
      </c>
      <c r="G28" s="22" t="s">
        <v>288</v>
      </c>
    </row>
    <row r="29" spans="1:7" x14ac:dyDescent="0.3">
      <c r="A29" s="12" t="s">
        <v>295</v>
      </c>
      <c r="B29" s="27" t="s">
        <v>296</v>
      </c>
      <c r="C29" s="22">
        <v>74</v>
      </c>
      <c r="D29" s="27" t="s">
        <v>35</v>
      </c>
      <c r="E29" s="12" t="s">
        <v>13</v>
      </c>
      <c r="F29" s="27" t="s">
        <v>281</v>
      </c>
      <c r="G29" s="22" t="s">
        <v>288</v>
      </c>
    </row>
    <row r="30" spans="1:7" x14ac:dyDescent="0.3">
      <c r="A30" s="12" t="s">
        <v>88</v>
      </c>
      <c r="B30" s="27" t="s">
        <v>34</v>
      </c>
      <c r="C30" s="22">
        <v>82</v>
      </c>
      <c r="D30" s="27" t="s">
        <v>35</v>
      </c>
      <c r="E30" s="12" t="s">
        <v>36</v>
      </c>
      <c r="F30" s="27" t="s">
        <v>281</v>
      </c>
      <c r="G30" s="22" t="s">
        <v>282</v>
      </c>
    </row>
    <row r="31" spans="1:7" x14ac:dyDescent="0.3">
      <c r="A31" s="12" t="s">
        <v>89</v>
      </c>
      <c r="B31" s="27" t="s">
        <v>90</v>
      </c>
      <c r="C31" s="22">
        <v>68</v>
      </c>
      <c r="D31" s="27" t="s">
        <v>20</v>
      </c>
      <c r="E31" s="12" t="s">
        <v>91</v>
      </c>
      <c r="F31" s="27" t="s">
        <v>281</v>
      </c>
      <c r="G31" s="22" t="s">
        <v>282</v>
      </c>
    </row>
    <row r="32" spans="1:7" x14ac:dyDescent="0.3">
      <c r="A32" s="12" t="s">
        <v>297</v>
      </c>
      <c r="B32" s="27" t="s">
        <v>298</v>
      </c>
      <c r="C32" s="22">
        <v>68</v>
      </c>
      <c r="D32" s="27" t="s">
        <v>35</v>
      </c>
      <c r="E32" s="12" t="s">
        <v>100</v>
      </c>
      <c r="F32" s="27" t="s">
        <v>281</v>
      </c>
      <c r="G32" s="22" t="s">
        <v>288</v>
      </c>
    </row>
    <row r="33" spans="1:7" x14ac:dyDescent="0.3">
      <c r="A33" s="12" t="s">
        <v>101</v>
      </c>
      <c r="B33" s="27" t="s">
        <v>102</v>
      </c>
      <c r="C33" s="22">
        <v>6.2</v>
      </c>
      <c r="D33" s="27" t="s">
        <v>103</v>
      </c>
      <c r="E33" s="12" t="s">
        <v>105</v>
      </c>
      <c r="F33" s="27" t="s">
        <v>299</v>
      </c>
      <c r="G33" s="22" t="s">
        <v>282</v>
      </c>
    </row>
    <row r="34" spans="1:7" ht="19.5" customHeight="1" x14ac:dyDescent="0.3">
      <c r="A34" s="5" t="s">
        <v>37</v>
      </c>
      <c r="B34" s="5"/>
      <c r="C34" s="5"/>
      <c r="D34" s="5"/>
      <c r="E34" s="5"/>
      <c r="F34" s="5"/>
      <c r="G34" s="5"/>
    </row>
    <row r="35" spans="1:7" x14ac:dyDescent="0.3">
      <c r="A35" s="21" t="s">
        <v>247</v>
      </c>
      <c r="B35" s="21" t="s">
        <v>272</v>
      </c>
      <c r="C35" s="21" t="s">
        <v>234</v>
      </c>
      <c r="D35" s="21" t="s">
        <v>5</v>
      </c>
      <c r="E35" s="21" t="s">
        <v>273</v>
      </c>
      <c r="F35" s="21" t="s">
        <v>274</v>
      </c>
      <c r="G35" s="21" t="s">
        <v>237</v>
      </c>
    </row>
    <row r="36" spans="1:7" x14ac:dyDescent="0.3">
      <c r="A36" s="12" t="s">
        <v>300</v>
      </c>
      <c r="B36" s="27" t="s">
        <v>107</v>
      </c>
      <c r="C36" s="22">
        <v>29.1</v>
      </c>
      <c r="D36" s="27" t="s">
        <v>40</v>
      </c>
      <c r="E36" s="12" t="s">
        <v>13</v>
      </c>
      <c r="F36" s="27" t="s">
        <v>128</v>
      </c>
      <c r="G36" s="22" t="s">
        <v>13</v>
      </c>
    </row>
    <row r="37" spans="1:7" x14ac:dyDescent="0.3">
      <c r="A37" s="12" t="s">
        <v>108</v>
      </c>
      <c r="B37" s="27" t="s">
        <v>109</v>
      </c>
      <c r="C37" s="22">
        <v>33</v>
      </c>
      <c r="D37" s="27" t="s">
        <v>40</v>
      </c>
      <c r="E37" s="12" t="s">
        <v>13</v>
      </c>
      <c r="F37" s="27" t="s">
        <v>128</v>
      </c>
      <c r="G37" s="22" t="s">
        <v>13</v>
      </c>
    </row>
    <row r="38" spans="1:7" x14ac:dyDescent="0.3">
      <c r="A38" s="12" t="s">
        <v>301</v>
      </c>
      <c r="B38" s="27" t="s">
        <v>111</v>
      </c>
      <c r="C38" s="22">
        <v>26.5</v>
      </c>
      <c r="D38" s="27" t="s">
        <v>40</v>
      </c>
      <c r="E38" s="12" t="s">
        <v>13</v>
      </c>
      <c r="F38" s="27" t="s">
        <v>128</v>
      </c>
      <c r="G38" s="22" t="s">
        <v>13</v>
      </c>
    </row>
    <row r="39" spans="1:7" x14ac:dyDescent="0.3">
      <c r="A39" s="12" t="s">
        <v>117</v>
      </c>
      <c r="B39" s="27" t="s">
        <v>118</v>
      </c>
      <c r="C39" s="22">
        <v>0.3</v>
      </c>
      <c r="D39" s="27" t="s">
        <v>119</v>
      </c>
      <c r="E39" s="12" t="s">
        <v>13</v>
      </c>
      <c r="F39" s="27" t="s">
        <v>128</v>
      </c>
      <c r="G39" s="22" t="s">
        <v>13</v>
      </c>
    </row>
    <row r="40" spans="1:7" x14ac:dyDescent="0.3">
      <c r="A40" s="12" t="s">
        <v>114</v>
      </c>
      <c r="B40" s="27" t="s">
        <v>115</v>
      </c>
      <c r="C40" s="22">
        <v>65</v>
      </c>
      <c r="D40" s="27" t="s">
        <v>20</v>
      </c>
      <c r="E40" s="12" t="s">
        <v>116</v>
      </c>
      <c r="F40" s="27" t="s">
        <v>128</v>
      </c>
      <c r="G40" s="22" t="s">
        <v>282</v>
      </c>
    </row>
    <row r="41" spans="1:7" x14ac:dyDescent="0.3">
      <c r="A41" s="12" t="s">
        <v>112</v>
      </c>
      <c r="B41" s="27" t="s">
        <v>113</v>
      </c>
      <c r="C41" s="22">
        <v>34.200000000000003</v>
      </c>
      <c r="D41" s="27" t="s">
        <v>40</v>
      </c>
      <c r="E41" s="12" t="s">
        <v>13</v>
      </c>
      <c r="F41" s="27" t="s">
        <v>281</v>
      </c>
      <c r="G41" s="22" t="s">
        <v>13</v>
      </c>
    </row>
    <row r="42" spans="1:7" x14ac:dyDescent="0.3">
      <c r="A42" s="12" t="s">
        <v>38</v>
      </c>
      <c r="B42" s="27" t="s">
        <v>39</v>
      </c>
      <c r="C42" s="22">
        <v>29.1</v>
      </c>
      <c r="D42" s="27" t="s">
        <v>40</v>
      </c>
      <c r="E42" s="12" t="s">
        <v>41</v>
      </c>
      <c r="F42" s="27" t="s">
        <v>281</v>
      </c>
      <c r="G42" s="22" t="s">
        <v>275</v>
      </c>
    </row>
    <row r="43" spans="1:7" x14ac:dyDescent="0.3">
      <c r="A43" s="12" t="s">
        <v>121</v>
      </c>
      <c r="B43" s="27" t="s">
        <v>122</v>
      </c>
      <c r="C43" s="22" t="s">
        <v>302</v>
      </c>
      <c r="D43" s="27" t="s">
        <v>13</v>
      </c>
      <c r="E43" s="12" t="s">
        <v>123</v>
      </c>
      <c r="F43" s="27" t="s">
        <v>281</v>
      </c>
      <c r="G43" s="22" t="s">
        <v>275</v>
      </c>
    </row>
    <row r="44" spans="1:7" x14ac:dyDescent="0.3">
      <c r="A44" s="12" t="s">
        <v>303</v>
      </c>
      <c r="B44" s="27" t="s">
        <v>125</v>
      </c>
      <c r="C44" s="22">
        <v>68</v>
      </c>
      <c r="D44" s="27" t="s">
        <v>20</v>
      </c>
      <c r="E44" s="12" t="s">
        <v>126</v>
      </c>
      <c r="F44" s="27" t="s">
        <v>281</v>
      </c>
      <c r="G44" s="22" t="s">
        <v>275</v>
      </c>
    </row>
    <row r="45" spans="1:7" x14ac:dyDescent="0.3">
      <c r="A45" s="12" t="s">
        <v>127</v>
      </c>
      <c r="B45" s="27" t="s">
        <v>128</v>
      </c>
      <c r="C45" s="22">
        <v>165</v>
      </c>
      <c r="D45" s="27" t="s">
        <v>140</v>
      </c>
      <c r="E45" s="12" t="s">
        <v>130</v>
      </c>
      <c r="F45" s="27" t="s">
        <v>299</v>
      </c>
      <c r="G45" s="22" t="s">
        <v>288</v>
      </c>
    </row>
    <row r="46" spans="1:7" x14ac:dyDescent="0.3">
      <c r="A46" s="12" t="s">
        <v>131</v>
      </c>
      <c r="B46" s="27" t="s">
        <v>132</v>
      </c>
      <c r="C46" s="22">
        <v>0.6</v>
      </c>
      <c r="D46" s="27" t="s">
        <v>133</v>
      </c>
      <c r="E46" s="12" t="s">
        <v>134</v>
      </c>
      <c r="F46" s="27" t="s">
        <v>299</v>
      </c>
      <c r="G46" s="22" t="s">
        <v>288</v>
      </c>
    </row>
    <row r="47" spans="1:7" x14ac:dyDescent="0.3">
      <c r="A47" s="12" t="s">
        <v>304</v>
      </c>
      <c r="B47" s="27" t="s">
        <v>13</v>
      </c>
      <c r="C47" s="22" t="s">
        <v>305</v>
      </c>
      <c r="D47" s="27" t="s">
        <v>239</v>
      </c>
      <c r="E47" s="12" t="s">
        <v>137</v>
      </c>
      <c r="F47" s="27" t="s">
        <v>281</v>
      </c>
      <c r="G47" s="22" t="s">
        <v>13</v>
      </c>
    </row>
    <row r="48" spans="1:7" ht="19.5" customHeight="1" x14ac:dyDescent="0.3">
      <c r="A48" s="5" t="s">
        <v>42</v>
      </c>
      <c r="B48" s="5"/>
      <c r="C48" s="5"/>
      <c r="D48" s="5"/>
      <c r="E48" s="5"/>
      <c r="F48" s="5"/>
      <c r="G48" s="5"/>
    </row>
    <row r="49" spans="1:7" x14ac:dyDescent="0.3">
      <c r="A49" s="21" t="s">
        <v>247</v>
      </c>
      <c r="B49" s="21" t="s">
        <v>272</v>
      </c>
      <c r="C49" s="21" t="s">
        <v>234</v>
      </c>
      <c r="D49" s="21" t="s">
        <v>5</v>
      </c>
      <c r="E49" s="21" t="s">
        <v>273</v>
      </c>
      <c r="F49" s="21" t="s">
        <v>274</v>
      </c>
      <c r="G49" s="21" t="s">
        <v>237</v>
      </c>
    </row>
    <row r="50" spans="1:7" x14ac:dyDescent="0.3">
      <c r="A50" s="12" t="s">
        <v>138</v>
      </c>
      <c r="B50" s="27" t="s">
        <v>139</v>
      </c>
      <c r="C50" s="22">
        <v>0.4</v>
      </c>
      <c r="D50" s="27" t="s">
        <v>140</v>
      </c>
      <c r="E50" s="12" t="s">
        <v>13</v>
      </c>
      <c r="F50" s="27" t="s">
        <v>128</v>
      </c>
      <c r="G50" s="22" t="s">
        <v>13</v>
      </c>
    </row>
    <row r="51" spans="1:7" x14ac:dyDescent="0.3">
      <c r="A51" s="12" t="s">
        <v>141</v>
      </c>
      <c r="B51" s="27" t="s">
        <v>142</v>
      </c>
      <c r="C51" s="22">
        <v>32</v>
      </c>
      <c r="D51" s="27" t="s">
        <v>143</v>
      </c>
      <c r="E51" s="12" t="s">
        <v>306</v>
      </c>
      <c r="F51" s="27" t="s">
        <v>281</v>
      </c>
      <c r="G51" s="22" t="s">
        <v>275</v>
      </c>
    </row>
    <row r="52" spans="1:7" x14ac:dyDescent="0.3">
      <c r="A52" s="12" t="s">
        <v>307</v>
      </c>
      <c r="B52" s="27" t="s">
        <v>146</v>
      </c>
      <c r="C52" s="22" t="s">
        <v>290</v>
      </c>
      <c r="D52" s="27" t="s">
        <v>140</v>
      </c>
      <c r="E52" s="12" t="s">
        <v>13</v>
      </c>
      <c r="F52" s="27" t="s">
        <v>128</v>
      </c>
      <c r="G52" s="22" t="s">
        <v>288</v>
      </c>
    </row>
    <row r="53" spans="1:7" x14ac:dyDescent="0.3">
      <c r="A53" s="12" t="s">
        <v>43</v>
      </c>
      <c r="B53" s="27" t="s">
        <v>44</v>
      </c>
      <c r="C53" s="22">
        <v>1.2</v>
      </c>
      <c r="D53" s="27" t="s">
        <v>13</v>
      </c>
      <c r="E53" s="12" t="s">
        <v>46</v>
      </c>
      <c r="F53" s="27" t="s">
        <v>128</v>
      </c>
      <c r="G53" s="22" t="s">
        <v>282</v>
      </c>
    </row>
    <row r="54" spans="1:7" x14ac:dyDescent="0.3">
      <c r="A54" s="12" t="s">
        <v>147</v>
      </c>
      <c r="B54" s="27" t="s">
        <v>148</v>
      </c>
      <c r="C54" s="22">
        <v>2.2999999999999998</v>
      </c>
      <c r="D54" s="27" t="s">
        <v>103</v>
      </c>
      <c r="E54" s="12" t="s">
        <v>13</v>
      </c>
      <c r="F54" s="27" t="s">
        <v>281</v>
      </c>
      <c r="G54" s="22" t="s">
        <v>288</v>
      </c>
    </row>
    <row r="55" spans="1:7" ht="19.5" customHeight="1" x14ac:dyDescent="0.3">
      <c r="A55" s="5" t="s">
        <v>47</v>
      </c>
      <c r="B55" s="5"/>
      <c r="C55" s="5"/>
      <c r="D55" s="5"/>
      <c r="E55" s="5"/>
      <c r="F55" s="5"/>
      <c r="G55" s="5"/>
    </row>
    <row r="56" spans="1:7" x14ac:dyDescent="0.3">
      <c r="A56" s="21" t="s">
        <v>247</v>
      </c>
      <c r="B56" s="21" t="s">
        <v>272</v>
      </c>
      <c r="C56" s="21" t="s">
        <v>234</v>
      </c>
      <c r="D56" s="21" t="s">
        <v>5</v>
      </c>
      <c r="E56" s="21" t="s">
        <v>273</v>
      </c>
      <c r="F56" s="21" t="s">
        <v>274</v>
      </c>
      <c r="G56" s="21" t="s">
        <v>237</v>
      </c>
    </row>
    <row r="57" spans="1:7" ht="26.4" x14ac:dyDescent="0.3">
      <c r="A57" s="12" t="s">
        <v>149</v>
      </c>
      <c r="B57" s="27" t="s">
        <v>49</v>
      </c>
      <c r="C57" s="22">
        <v>1.8</v>
      </c>
      <c r="D57" s="27" t="s">
        <v>50</v>
      </c>
      <c r="E57" s="12" t="s">
        <v>13</v>
      </c>
      <c r="F57" s="27" t="s">
        <v>128</v>
      </c>
      <c r="G57" s="22" t="s">
        <v>13</v>
      </c>
    </row>
    <row r="58" spans="1:7" x14ac:dyDescent="0.3">
      <c r="A58" s="12" t="s">
        <v>150</v>
      </c>
      <c r="B58" s="27" t="s">
        <v>308</v>
      </c>
      <c r="C58" s="22">
        <v>2.4</v>
      </c>
      <c r="D58" s="27" t="s">
        <v>50</v>
      </c>
      <c r="E58" s="12" t="s">
        <v>309</v>
      </c>
      <c r="F58" s="27" t="s">
        <v>281</v>
      </c>
      <c r="G58" s="22" t="s">
        <v>282</v>
      </c>
    </row>
    <row r="59" spans="1:7" ht="26.4" x14ac:dyDescent="0.3">
      <c r="A59" s="12" t="s">
        <v>153</v>
      </c>
      <c r="B59" s="27" t="s">
        <v>154</v>
      </c>
      <c r="C59" s="22">
        <v>0.5</v>
      </c>
      <c r="D59" s="27" t="s">
        <v>50</v>
      </c>
      <c r="E59" s="12" t="s">
        <v>13</v>
      </c>
      <c r="F59" s="27" t="s">
        <v>128</v>
      </c>
      <c r="G59" s="22" t="s">
        <v>13</v>
      </c>
    </row>
    <row r="60" spans="1:7" x14ac:dyDescent="0.3">
      <c r="A60" s="12" t="s">
        <v>155</v>
      </c>
      <c r="B60" s="27" t="s">
        <v>308</v>
      </c>
      <c r="C60" s="22">
        <v>0.6</v>
      </c>
      <c r="D60" s="27" t="s">
        <v>50</v>
      </c>
      <c r="E60" s="12" t="s">
        <v>310</v>
      </c>
      <c r="F60" s="27" t="s">
        <v>281</v>
      </c>
      <c r="G60" s="22" t="s">
        <v>282</v>
      </c>
    </row>
    <row r="61" spans="1:7" x14ac:dyDescent="0.3">
      <c r="A61" s="12" t="s">
        <v>158</v>
      </c>
      <c r="B61" s="27" t="s">
        <v>159</v>
      </c>
      <c r="C61" s="22">
        <v>8.5</v>
      </c>
      <c r="D61" s="27" t="s">
        <v>160</v>
      </c>
      <c r="E61" s="12" t="s">
        <v>161</v>
      </c>
      <c r="F61" s="27" t="s">
        <v>281</v>
      </c>
      <c r="G61" s="22" t="s">
        <v>282</v>
      </c>
    </row>
    <row r="62" spans="1:7" x14ac:dyDescent="0.3">
      <c r="A62" s="12" t="s">
        <v>162</v>
      </c>
      <c r="B62" s="27" t="s">
        <v>163</v>
      </c>
      <c r="C62" s="22">
        <v>125</v>
      </c>
      <c r="D62" s="27" t="s">
        <v>164</v>
      </c>
      <c r="E62" s="12" t="s">
        <v>13</v>
      </c>
      <c r="F62" s="27" t="s">
        <v>281</v>
      </c>
      <c r="G62" s="22" t="s">
        <v>288</v>
      </c>
    </row>
    <row r="63" spans="1:7" x14ac:dyDescent="0.3">
      <c r="A63" s="12" t="s">
        <v>101</v>
      </c>
      <c r="B63" s="27" t="s">
        <v>102</v>
      </c>
      <c r="C63" s="22">
        <v>4</v>
      </c>
      <c r="D63" s="27" t="s">
        <v>103</v>
      </c>
      <c r="E63" s="12" t="s">
        <v>13</v>
      </c>
      <c r="F63" s="27" t="s">
        <v>299</v>
      </c>
      <c r="G63" s="22" t="s">
        <v>13</v>
      </c>
    </row>
    <row r="65" spans="1:7" ht="15" customHeight="1" x14ac:dyDescent="0.3">
      <c r="A65" s="1" t="s">
        <v>311</v>
      </c>
      <c r="B65" s="1"/>
      <c r="C65" s="1"/>
      <c r="D65" s="1"/>
      <c r="E65" s="1"/>
      <c r="F65" s="1"/>
      <c r="G65" s="1"/>
    </row>
    <row r="66" spans="1:7" x14ac:dyDescent="0.3">
      <c r="A66" s="1"/>
      <c r="B66" s="1"/>
      <c r="C66" s="1"/>
      <c r="D66" s="1"/>
      <c r="E66" s="1"/>
      <c r="F66" s="1"/>
      <c r="G66" s="1"/>
    </row>
  </sheetData>
  <mergeCells count="15">
    <mergeCell ref="A22:G22"/>
    <mergeCell ref="A34:G34"/>
    <mergeCell ref="A48:G48"/>
    <mergeCell ref="A55:G55"/>
    <mergeCell ref="A65:G66"/>
    <mergeCell ref="B6:C6"/>
    <mergeCell ref="E6:G6"/>
    <mergeCell ref="B7:C7"/>
    <mergeCell ref="E7:G7"/>
    <mergeCell ref="A9:G9"/>
    <mergeCell ref="A1:G1"/>
    <mergeCell ref="A2:G2"/>
    <mergeCell ref="A4:G4"/>
    <mergeCell ref="B5:C5"/>
    <mergeCell ref="E5:G5"/>
  </mergeCells>
  <conditionalFormatting sqref="G11:G21">
    <cfRule type="cellIs" dxfId="9" priority="2" operator="equal">
      <formula>"Cumple"</formula>
    </cfRule>
    <cfRule type="cellIs" dxfId="8" priority="3" operator="equal">
      <formula>"No cumple"</formula>
    </cfRule>
  </conditionalFormatting>
  <conditionalFormatting sqref="G24:G33">
    <cfRule type="cellIs" dxfId="7" priority="4" operator="equal">
      <formula>"Cumple"</formula>
    </cfRule>
    <cfRule type="cellIs" dxfId="6" priority="5" operator="equal">
      <formula>"No cumple"</formula>
    </cfRule>
  </conditionalFormatting>
  <conditionalFormatting sqref="G36:G47">
    <cfRule type="cellIs" dxfId="5" priority="6" operator="equal">
      <formula>"Cumple"</formula>
    </cfRule>
    <cfRule type="cellIs" dxfId="4" priority="7" operator="equal">
      <formula>"No cumple"</formula>
    </cfRule>
  </conditionalFormatting>
  <conditionalFormatting sqref="G50:G54">
    <cfRule type="cellIs" dxfId="3" priority="8" operator="equal">
      <formula>"Cumple"</formula>
    </cfRule>
    <cfRule type="cellIs" dxfId="2" priority="9" operator="equal">
      <formula>"No cumple"</formula>
    </cfRule>
  </conditionalFormatting>
  <conditionalFormatting sqref="G57:G63">
    <cfRule type="cellIs" dxfId="1" priority="10" operator="equal">
      <formula>"Cumple"</formula>
    </cfRule>
    <cfRule type="cellIs" dxfId="0" priority="11" operator="equal">
      <formula>"No cumple"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2"/>
  <sheetViews>
    <sheetView showGridLines="0" zoomScaleNormal="100" workbookViewId="0"/>
  </sheetViews>
  <sheetFormatPr baseColWidth="10" defaultColWidth="8.6640625" defaultRowHeight="14.4" x14ac:dyDescent="0.3"/>
  <cols>
    <col min="1" max="1" width="115" customWidth="1"/>
  </cols>
  <sheetData>
    <row r="1" spans="1:1" ht="16.8" x14ac:dyDescent="0.3">
      <c r="A1" s="28" t="s">
        <v>312</v>
      </c>
    </row>
    <row r="2" spans="1:1" x14ac:dyDescent="0.3">
      <c r="A2" s="29"/>
    </row>
    <row r="3" spans="1:1" x14ac:dyDescent="0.3">
      <c r="A3" s="30" t="s">
        <v>313</v>
      </c>
    </row>
    <row r="4" spans="1:1" x14ac:dyDescent="0.3">
      <c r="A4" s="29" t="s">
        <v>314</v>
      </c>
    </row>
    <row r="5" spans="1:1" x14ac:dyDescent="0.3">
      <c r="A5" s="29" t="s">
        <v>315</v>
      </c>
    </row>
    <row r="6" spans="1:1" x14ac:dyDescent="0.3">
      <c r="A6" s="29" t="s">
        <v>316</v>
      </c>
    </row>
    <row r="7" spans="1:1" x14ac:dyDescent="0.3">
      <c r="A7" s="29" t="s">
        <v>317</v>
      </c>
    </row>
    <row r="8" spans="1:1" x14ac:dyDescent="0.3">
      <c r="A8" s="29" t="s">
        <v>318</v>
      </c>
    </row>
    <row r="9" spans="1:1" x14ac:dyDescent="0.3">
      <c r="A9" s="29"/>
    </row>
    <row r="10" spans="1:1" x14ac:dyDescent="0.3">
      <c r="A10" s="30" t="s">
        <v>6</v>
      </c>
    </row>
    <row r="11" spans="1:1" x14ac:dyDescent="0.3">
      <c r="A11" s="29" t="s">
        <v>319</v>
      </c>
    </row>
    <row r="12" spans="1:1" x14ac:dyDescent="0.3">
      <c r="A12" s="29" t="s">
        <v>320</v>
      </c>
    </row>
    <row r="13" spans="1:1" x14ac:dyDescent="0.3">
      <c r="A13" s="29" t="s">
        <v>321</v>
      </c>
    </row>
    <row r="14" spans="1:1" x14ac:dyDescent="0.3">
      <c r="A14" s="29"/>
    </row>
    <row r="15" spans="1:1" x14ac:dyDescent="0.3">
      <c r="A15" s="30" t="s">
        <v>322</v>
      </c>
    </row>
    <row r="16" spans="1:1" x14ac:dyDescent="0.3">
      <c r="A16" s="29" t="s">
        <v>323</v>
      </c>
    </row>
    <row r="17" spans="1:1" x14ac:dyDescent="0.3">
      <c r="A17" s="29" t="s">
        <v>324</v>
      </c>
    </row>
    <row r="18" spans="1:1" ht="26.4" x14ac:dyDescent="0.3">
      <c r="A18" s="29" t="s">
        <v>325</v>
      </c>
    </row>
    <row r="19" spans="1:1" x14ac:dyDescent="0.3">
      <c r="A19" s="29"/>
    </row>
    <row r="20" spans="1:1" x14ac:dyDescent="0.3">
      <c r="A20" s="30" t="s">
        <v>326</v>
      </c>
    </row>
    <row r="21" spans="1:1" x14ac:dyDescent="0.3">
      <c r="A21" s="29" t="s">
        <v>327</v>
      </c>
    </row>
    <row r="22" spans="1:1" x14ac:dyDescent="0.3">
      <c r="A22" s="29" t="s">
        <v>328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 1 · Dashboard</vt:lpstr>
      <vt:lpstr>Hoja 2 · Detalle técnico</vt:lpstr>
      <vt:lpstr>Hoja 3 · Análisis</vt:lpstr>
      <vt:lpstr>Reporte Hoja 1</vt:lpstr>
      <vt:lpstr>Reporte Hoja 2</vt:lpstr>
      <vt:lpstr>Leyenda y 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 Mauricio Pérez Cruz</cp:lastModifiedBy>
  <cp:revision>0</cp:revision>
  <dcterms:created xsi:type="dcterms:W3CDTF">2026-07-29T22:43:26Z</dcterms:created>
  <dcterms:modified xsi:type="dcterms:W3CDTF">2026-07-29T22:44:46Z</dcterms:modified>
  <dc:language>en-US</dc:language>
</cp:coreProperties>
</file>